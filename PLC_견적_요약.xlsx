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단가표" sheetId="2" state="visible" r:id="rId4"/>
    <sheet name="CPU 할인 효과" sheetId="3" state="visible" r:id="rId5"/>
    <sheet name="프로젝트별 구성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<sst xmlns="http://schemas.openxmlformats.org/spreadsheetml/2006/main" count="198" uniqueCount="114">
  <si>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</si>
  <si>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</si>
  <si>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</si>
  <si>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</si>
  <si>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</si>
  <si>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</si>
  <si>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</si>
  <si>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</si>
  <si>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</si>
  <si>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</si>
  <si>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</si>
  <si>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</si>
  <si>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</si>
  <si>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</si>
  <si>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</si>
  <si>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</si>
  <si>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</si>
  <si>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</si>
  <si>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</si>
  <si>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</si>
  <si>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</si>
  <si>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</si>
  <si>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</si>
  <si>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구성과 같고</t>
    </r>
    <r>
      <rPr>
        <sz val="10"/>
        <color rgb="FF375623"/>
        <rFont val="맑은 고딕"/>
        <family val="0"/>
        <charset val="1"/>
      </rPr>
      <t xml:space="preserve">, RFQ </t>
    </r>
    <r>
      <rPr>
        <sz val="10"/>
        <color rgb="FF375623"/>
        <rFont val="WenQuanYi Zen Hei"/>
        <family val="2"/>
      </rPr>
      <t xml:space="preserve">조건을 충족합니다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</si>
  <si>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③ MCC: Schneider </t>
    </r>
    <r>
      <rPr>
        <sz val="10"/>
        <color rgb="FFC00000"/>
        <rFont val="WenQuanYi Zen Hei"/>
        <family val="2"/>
      </rPr>
      <t xml:space="preserve">제안은 </t>
    </r>
    <r>
      <rPr>
        <sz val="10"/>
        <color rgb="FFC00000"/>
        <rFont val="맑은 고딕"/>
        <family val="0"/>
        <charset val="1"/>
      </rPr>
      <t xml:space="preserve">RFQ </t>
    </r>
    <r>
      <rPr>
        <sz val="10"/>
        <color rgb="FFC00000"/>
        <rFont val="WenQuanYi Zen Hei"/>
        <family val="2"/>
      </rPr>
      <t xml:space="preserve">조건 미달 → 재견적 필요</t>
    </r>
    <r>
      <rPr>
        <sz val="10"/>
        <color rgb="FFC00000"/>
        <rFont val="맑은 고딕"/>
        <family val="0"/>
        <charset val="1"/>
      </rPr>
      <t xml:space="preserve">.  (</t>
    </r>
    <r>
      <rPr>
        <sz val="10"/>
        <color rgb="FFC00000"/>
        <rFont val="WenQuanYi Zen Hei"/>
        <family val="2"/>
      </rPr>
      <t xml:space="preserve">릴레이 출력이어야 하는데 트랜지스터로 제안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입력 </t>
    </r>
    <r>
      <rPr>
        <sz val="10"/>
        <color rgb="FFC00000"/>
        <rFont val="맑은 고딕"/>
        <family val="0"/>
        <charset val="1"/>
      </rPr>
      <t xml:space="preserve">38</t>
    </r>
    <r>
      <rPr>
        <sz val="10"/>
        <color rgb="FFC00000"/>
        <rFont val="WenQuanYi Zen Hei"/>
        <family val="2"/>
      </rPr>
      <t xml:space="preserve">점 </t>
    </r>
    <r>
      <rPr>
        <sz val="10"/>
        <color rgb="FFC00000"/>
        <rFont val="맑은 고딕"/>
        <family val="0"/>
        <charset val="1"/>
      </rPr>
      <t xml:space="preserve">· </t>
    </r>
    <r>
      <rPr>
        <sz val="10"/>
        <color rgb="FFC00000"/>
        <rFont val="WenQuanYi Zen Hei"/>
        <family val="2"/>
      </rPr>
      <t xml:space="preserve">출력 </t>
    </r>
    <r>
      <rPr>
        <sz val="10"/>
        <color rgb="FFC00000"/>
        <rFont val="맑은 고딕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점 </t>
    </r>
    <r>
      <rPr>
        <sz val="10"/>
        <color rgb="FFC00000"/>
        <rFont val="맑은 고딕"/>
        <family val="0"/>
        <charset val="1"/>
      </rPr>
      <t xml:space="preserve">· </t>
    </r>
    <r>
      <rPr>
        <sz val="10"/>
        <color rgb="FFC00000"/>
        <rFont val="WenQuanYi Zen Hei"/>
        <family val="2"/>
      </rPr>
      <t xml:space="preserve">아날로그 출력 </t>
    </r>
    <r>
      <rPr>
        <sz val="10"/>
        <color rgb="FFC00000"/>
        <rFont val="맑은 고딕"/>
        <family val="0"/>
        <charset val="1"/>
      </rPr>
      <t xml:space="preserve">2CH </t>
    </r>
    <r>
      <rPr>
        <sz val="10"/>
        <color rgb="FFC00000"/>
        <rFont val="WenQuanYi Zen Hei"/>
        <family val="2"/>
      </rPr>
      <t xml:space="preserve">부족</t>
    </r>
    <r>
      <rPr>
        <sz val="10"/>
        <color rgb="FFC00000"/>
        <rFont val="맑은 고딕"/>
        <family val="0"/>
        <charset val="1"/>
      </rPr>
      <t xml:space="preserve">)  </t>
    </r>
    <r>
      <rPr>
        <sz val="10"/>
        <color rgb="FFC00000"/>
        <rFont val="WenQuanYi Zen Hei"/>
        <family val="2"/>
      </rPr>
      <t xml:space="preserve">위 표의 </t>
    </r>
    <r>
      <rPr>
        <sz val="10"/>
        <color rgb="FFC00000"/>
        <rFont val="맑은 고딕"/>
        <family val="0"/>
        <charset val="1"/>
      </rPr>
      <t xml:space="preserve">MCC </t>
    </r>
    <r>
      <rPr>
        <sz val="10"/>
        <color rgb="FFC00000"/>
        <rFont val="WenQuanYi Zen Hei"/>
        <family val="2"/>
      </rPr>
      <t xml:space="preserve">가격은 조건을 맞춘 구성 기준입니다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</si>
  <si>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</t>
    </r>
    <r>
      <rPr>
        <sz val="10"/>
        <color rgb="FFC00000"/>
        <rFont val="WenQuanYi Zen Hei"/>
        <family val="2"/>
      </rPr>
      <t xml:space="preserve">는 확장 모듈이 </t>
    </r>
    <r>
      <rPr>
        <sz val="10"/>
        <color rgb="FFC00000"/>
        <rFont val="맑은 고딕"/>
        <family val="0"/>
        <charset val="1"/>
      </rPr>
      <t xml:space="preserve">11</t>
    </r>
    <r>
      <rPr>
        <sz val="10"/>
        <color rgb="FFC00000"/>
        <rFont val="WenQuanYi Zen Hei"/>
        <family val="2"/>
      </rPr>
      <t xml:space="preserve">개라 버스 확장 부품</t>
    </r>
    <r>
      <rPr>
        <sz val="10"/>
        <color rgb="FFC00000"/>
        <rFont val="맑은 고딕"/>
        <family val="0"/>
        <charset val="1"/>
      </rPr>
      <t xml:space="preserve">(TM3XTRA1 / TM3XREC1)</t>
    </r>
    <r>
      <rPr>
        <sz val="10"/>
        <color rgb="FFC00000"/>
        <rFont val="WenQuanYi Zen Hei"/>
        <family val="2"/>
      </rPr>
      <t xml:space="preserve">이 더 필요합니다 — 가격 미포함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견적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</si>
  <si>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</si>
  <si>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⑥ CPU </t>
    </r>
    <r>
      <rPr>
        <sz val="10"/>
        <color rgb="FF000000"/>
        <rFont val="WenQuanYi Zen Hei"/>
        <family val="2"/>
      </rPr>
      <t xml:space="preserve">할인율을 </t>
    </r>
    <r>
      <rPr>
        <sz val="10"/>
        <color rgb="FF000000"/>
        <rFont val="맑은 고딕"/>
        <family val="0"/>
        <charset val="1"/>
      </rPr>
      <t xml:space="preserve">0.45 → 0.40</t>
    </r>
    <r>
      <rPr>
        <sz val="10"/>
        <color rgb="FF000000"/>
        <rFont val="WenQuanYi Zen Hei"/>
        <family val="2"/>
      </rPr>
      <t xml:space="preserve">으로 받으면 연간 약 </t>
    </r>
    <r>
      <rPr>
        <sz val="10"/>
        <color rgb="FF000000"/>
        <rFont val="맑은 고딕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만 원 절감 </t>
    </r>
    <r>
      <rPr>
        <sz val="10"/>
        <color rgb="FF000000"/>
        <rFont val="맑은 고딕"/>
        <family val="0"/>
        <charset val="1"/>
      </rPr>
      <t xml:space="preserve">('CPU </t>
    </r>
    <r>
      <rPr>
        <sz val="10"/>
        <color rgb="FF000000"/>
        <rFont val="WenQuanYi Zen Hei"/>
        <family val="2"/>
      </rPr>
      <t xml:space="preserve">할인 효과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</si>
  <si>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</si>
  <si>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</si>
  <si>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</si>
  <si>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t xml:space="preserve">No.</t>
  </si>
  <si>
    <t xml:space="preserve">모델</t>
  </si>
  <si>
    <t xml:space="preserve">전원</t>
  </si>
  <si>
    <t xml:space="preserve">설명</t>
  </si>
  <si>
    <t xml:space="preserve">리스트가</t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</si>
  <si>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</si>
  <si>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매입 단가</t>
  </si>
  <si>
    <t xml:space="preserve">TM241CE24T</t>
  </si>
  <si>
    <t xml:space="preserve">DC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</si>
  <si>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</si>
  <si>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t xml:space="preserve">TM241C24T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</si>
  <si>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</si>
  <si>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t xml:space="preserve">TM241C24R</t>
  </si>
  <si>
    <t xml:space="preserve">AC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</si>
  <si>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</si>
  <si>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t xml:space="preserve">TM241C40T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</si>
  <si>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</si>
  <si>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t xml:space="preserve">TM241C40R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</si>
  <si>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</si>
  <si>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TM3DI16</t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</si>
  <si>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</si>
  <si>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</si>
  <si>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</si>
  <si>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</si>
  <si>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</si>
  <si>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</si>
  <si>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</si>
  <si>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</si>
  <si>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</si>
  <si>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</si>
  <si>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</si>
  <si>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</si>
  <si>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</si>
  <si>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</si>
  <si>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</si>
  <si>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</si>
  <si>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</si>
  <si>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</si>
  <si>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</si>
  <si>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</si>
  <si>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</si>
  <si>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</si>
  <si>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t xml:space="preserve">TM3AQ2</t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</si>
  <si>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</si>
  <si>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TM3AQ4</t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</si>
  <si>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</si>
  <si>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</si>
  <si>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</si>
  <si>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</si>
  <si>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</si>
  <si>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</si>
  <si>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</si>
  <si>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</si>
  <si>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</si>
  <si>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</si>
  <si>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절감</t>
  </si>
  <si>
    <t xml:space="preserve">TSU + ANU-S (DC24V)</t>
  </si>
  <si>
    <t xml:space="preserve">ANU (DC24V)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</si>
  <si>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</si>
  <si>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</si>
  <si>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CE24T)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</si>
  <si>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CE24T)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</si>
  <si>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</si>
  <si>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</si>
  <si>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</si>
  <si>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</si>
  <si>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</si>
  <si>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</si>
  <si>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</si>
  <si>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</si>
  <si>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</si>
  <si>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</si>
  <si>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</si>
  <si>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t xml:space="preserve">AC220V</t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</si>
  <si>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</si>
  <si>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</si>
  <si>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</si>
  <si>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</si>
  <si>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</si>
  <si>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</si>
  <si>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</t>
    </r>
    <r>
      <rPr>
        <sz val="10"/>
        <color rgb="FF000000"/>
        <rFont val="WenQuanYi Zen Hei"/>
        <family val="2"/>
      </rPr>
      <t xml:space="preserve">릴레이만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</si>
  <si>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필수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</si>
  <si>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110 / </t>
    </r>
    <r>
      <rPr>
        <sz val="9"/>
        <color rgb="FFC00000"/>
        <rFont val="WenQuanYi Zen Hei"/>
        <family val="2"/>
      </rPr>
      <t xml:space="preserve">릴레이 출력 </t>
    </r>
    <r>
      <rPr>
        <sz val="9"/>
        <color rgb="FFC00000"/>
        <rFont val="맑은 고딕"/>
        <family val="0"/>
        <charset val="1"/>
      </rPr>
      <t xml:space="preserve">64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11</t>
    </r>
    <r>
      <rPr>
        <sz val="9"/>
        <color rgb="FFC00000"/>
        <rFont val="WenQuanYi Zen Hei"/>
        <family val="2"/>
      </rPr>
      <t xml:space="preserve">개 → 버스 확장 부품</t>
    </r>
    <r>
      <rPr>
        <sz val="9"/>
        <color rgb="FFC00000"/>
        <rFont val="맑은 고딕"/>
        <family val="0"/>
        <charset val="1"/>
      </rPr>
      <t xml:space="preserve">(TM3XTRA1/TM3XREC1) </t>
    </r>
    <r>
      <rPr>
        <sz val="9"/>
        <color rgb="FFC00000"/>
        <rFont val="WenQuanYi Zen Hei"/>
        <family val="2"/>
      </rPr>
      <t xml:space="preserve">추가 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미포함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</si>
</sst>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0.0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구성'!F44</f>
        <v>1449500</v>
      </c>
      <c r="E9" s="11" t="s">
        <v>19</v>
      </c>
      <c r="F9" s="10" t="n">
        <f aca="false">C9*D9</f>
        <v>144950000</v>
      </c>
      <c r="G9" s="12" t="n">
        <f aca="false">F9</f>
        <v>144950000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375362500</v>
      </c>
      <c r="G10" s="16" t="n">
        <f aca="false">SUM(G6:G9)</f>
        <v>369962500</v>
      </c>
    </row>
    <row r="11" customFormat="false" ht="15" hidden="false" customHeight="false" outlineLevel="0" collapsed="false">
      <c r="A11" s="17" t="s">
        <v>21</v>
      </c>
    </row>
    <row r="13" customFormat="false" ht="16.15" hidden="false" customHeight="false" outlineLevel="0" collapsed="false">
      <c r="A13" s="18" t="s">
        <v>22</v>
      </c>
    </row>
    <row r="14" customFormat="false" ht="31.5" hidden="false" customHeight="true" outlineLevel="0" collapsed="false">
      <c r="A14" s="19" t="str">
        <f aca="false">"① 연간 구매금액: DC24V 기준 약 "&amp;TEXT(F10/100000000,"0.00")&amp;"억 원,  AC220V 기준 약 "&amp;TEXT(G10/100000000,"0.00")&amp;"억 원"</f>
        <v>① 연간 구매금액: DC24V 기준 약 3.75억 원,  AC220V 기준 약 3.70억 원</v>
      </c>
      <c r="B14" s="19"/>
      <c r="C14" s="19"/>
      <c r="D14" s="19"/>
      <c r="E14" s="19"/>
      <c r="F14" s="19"/>
      <c r="G14" s="19"/>
    </row>
    <row r="15" customFormat="false" ht="19.5" hidden="false" customHeight="true" outlineLevel="0" collapsed="false">
      <c r="A15" s="20" t="s">
        <v>23</v>
      </c>
      <c r="B15" s="20"/>
      <c r="C15" s="20"/>
      <c r="D15" s="20"/>
      <c r="E15" s="20"/>
      <c r="F15" s="20"/>
      <c r="G15" s="20"/>
    </row>
    <row r="16" customFormat="false" ht="31.5" hidden="false" customHeight="true" outlineLevel="0" collapsed="false">
      <c r="A16" s="21" t="s">
        <v>24</v>
      </c>
      <c r="B16" s="21"/>
      <c r="C16" s="21"/>
      <c r="D16" s="21"/>
      <c r="E16" s="21"/>
      <c r="F16" s="21"/>
      <c r="G16" s="21"/>
    </row>
    <row r="17" customFormat="false" ht="31.5" hidden="false" customHeight="true" outlineLevel="0" collapsed="false">
      <c r="A17" s="21" t="s">
        <v>25</v>
      </c>
      <c r="B17" s="21"/>
      <c r="C17" s="21"/>
      <c r="D17" s="21"/>
      <c r="E17" s="21"/>
      <c r="F17" s="21"/>
      <c r="G17" s="21"/>
    </row>
    <row r="18" customFormat="false" ht="31.5" hidden="false" customHeight="true" outlineLevel="0" collapsed="false">
      <c r="A18" s="22" t="s">
        <v>26</v>
      </c>
      <c r="B18" s="22"/>
      <c r="C18" s="22"/>
      <c r="D18" s="22"/>
      <c r="E18" s="22"/>
      <c r="F18" s="22"/>
      <c r="G18" s="22"/>
    </row>
    <row r="19" customFormat="false" ht="19.5" hidden="false" customHeight="true" outlineLevel="0" collapsed="false">
      <c r="A19" s="22" t="s">
        <v>27</v>
      </c>
      <c r="B19" s="22"/>
      <c r="C19" s="22"/>
      <c r="D19" s="22"/>
      <c r="E19" s="22"/>
      <c r="F19" s="22"/>
      <c r="G19" s="22"/>
    </row>
    <row r="20" customFormat="false" ht="19.5" hidden="false" customHeight="true" outlineLevel="0" collapsed="false">
      <c r="A20" s="23" t="s">
        <v>28</v>
      </c>
      <c r="B20" s="23"/>
      <c r="C20" s="23"/>
      <c r="D20" s="23"/>
      <c r="E20" s="23"/>
      <c r="F20" s="23"/>
      <c r="G20" s="23"/>
    </row>
  </sheetData>
  <mergeCells count="8">
    <mergeCell ref="A10:B10"/>
    <mergeCell ref="A14:G14"/>
    <mergeCell ref="A15:G15"/>
    <mergeCell ref="A16:G16"/>
    <mergeCell ref="A17:G17"/>
    <mergeCell ref="A18:G18"/>
    <mergeCell ref="A19:G19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24" t="s">
        <v>29</v>
      </c>
    </row>
    <row r="2" customFormat="false" ht="15" hidden="false" customHeight="false" outlineLevel="0" collapsed="false">
      <c r="A2" s="2" t="s">
        <v>30</v>
      </c>
    </row>
    <row r="4" customFormat="false" ht="30" hidden="false" customHeight="true" outlineLevel="0" collapsed="false">
      <c r="A4" s="5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36</v>
      </c>
      <c r="G4" s="4" t="s">
        <v>37</v>
      </c>
    </row>
    <row r="5" customFormat="false" ht="15" hidden="false" customHeight="false" outlineLevel="0" collapsed="false">
      <c r="A5" s="25" t="n">
        <v>1</v>
      </c>
      <c r="B5" s="26" t="s">
        <v>38</v>
      </c>
      <c r="C5" s="25" t="s">
        <v>39</v>
      </c>
      <c r="D5" s="27" t="s">
        <v>40</v>
      </c>
      <c r="E5" s="9" t="n">
        <v>886000</v>
      </c>
      <c r="F5" s="28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25" t="n">
        <v>2</v>
      </c>
      <c r="B6" s="26" t="s">
        <v>41</v>
      </c>
      <c r="C6" s="25" t="s">
        <v>39</v>
      </c>
      <c r="D6" s="27" t="s">
        <v>42</v>
      </c>
      <c r="E6" s="9" t="n">
        <v>873000</v>
      </c>
      <c r="F6" s="28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25" t="n">
        <v>3</v>
      </c>
      <c r="B7" s="26" t="s">
        <v>43</v>
      </c>
      <c r="C7" s="25" t="s">
        <v>44</v>
      </c>
      <c r="D7" s="27" t="s">
        <v>45</v>
      </c>
      <c r="E7" s="9" t="n">
        <v>855000</v>
      </c>
      <c r="F7" s="28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25" t="n">
        <v>4</v>
      </c>
      <c r="B8" s="26" t="s">
        <v>46</v>
      </c>
      <c r="C8" s="25" t="s">
        <v>39</v>
      </c>
      <c r="D8" s="27" t="s">
        <v>47</v>
      </c>
      <c r="E8" s="9" t="n">
        <v>928000</v>
      </c>
      <c r="F8" s="28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25" t="n">
        <v>5</v>
      </c>
      <c r="B9" s="26" t="s">
        <v>48</v>
      </c>
      <c r="C9" s="25" t="s">
        <v>44</v>
      </c>
      <c r="D9" s="27" t="s">
        <v>49</v>
      </c>
      <c r="E9" s="9" t="n">
        <v>903000</v>
      </c>
      <c r="F9" s="28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25" t="n">
        <v>6</v>
      </c>
      <c r="B10" s="26" t="s">
        <v>50</v>
      </c>
      <c r="C10" s="25" t="s">
        <v>51</v>
      </c>
      <c r="D10" s="29" t="s">
        <v>52</v>
      </c>
      <c r="E10" s="9" t="n">
        <v>228000</v>
      </c>
      <c r="F10" s="28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25" t="n">
        <v>7</v>
      </c>
      <c r="B11" s="26" t="s">
        <v>53</v>
      </c>
      <c r="C11" s="25" t="s">
        <v>51</v>
      </c>
      <c r="D11" s="29" t="s">
        <v>54</v>
      </c>
      <c r="E11" s="9" t="n">
        <v>202000</v>
      </c>
      <c r="F11" s="28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25" t="n">
        <v>8</v>
      </c>
      <c r="B12" s="26" t="s">
        <v>55</v>
      </c>
      <c r="C12" s="25" t="s">
        <v>51</v>
      </c>
      <c r="D12" s="29" t="s">
        <v>56</v>
      </c>
      <c r="E12" s="9" t="n">
        <v>227000</v>
      </c>
      <c r="F12" s="28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25" t="n">
        <v>9</v>
      </c>
      <c r="B13" s="26" t="s">
        <v>57</v>
      </c>
      <c r="C13" s="25" t="s">
        <v>51</v>
      </c>
      <c r="D13" s="29" t="s">
        <v>58</v>
      </c>
      <c r="E13" s="9" t="n">
        <v>227000</v>
      </c>
      <c r="F13" s="28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25" t="n">
        <v>10</v>
      </c>
      <c r="B14" s="26" t="s">
        <v>59</v>
      </c>
      <c r="C14" s="25" t="s">
        <v>51</v>
      </c>
      <c r="D14" s="29" t="s">
        <v>60</v>
      </c>
      <c r="E14" s="9" t="n">
        <v>213000</v>
      </c>
      <c r="F14" s="28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25" t="n">
        <v>11</v>
      </c>
      <c r="B15" s="26" t="s">
        <v>61</v>
      </c>
      <c r="C15" s="25" t="s">
        <v>51</v>
      </c>
      <c r="D15" s="29" t="s">
        <v>62</v>
      </c>
      <c r="E15" s="9" t="n">
        <v>161000</v>
      </c>
      <c r="F15" s="28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25" t="n">
        <v>12</v>
      </c>
      <c r="B16" s="26" t="s">
        <v>63</v>
      </c>
      <c r="C16" s="25" t="s">
        <v>51</v>
      </c>
      <c r="D16" s="29" t="s">
        <v>64</v>
      </c>
      <c r="E16" s="9" t="n">
        <v>168000</v>
      </c>
      <c r="F16" s="28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25" t="n">
        <v>13</v>
      </c>
      <c r="B17" s="26" t="s">
        <v>65</v>
      </c>
      <c r="C17" s="25" t="s">
        <v>51</v>
      </c>
      <c r="D17" s="29" t="s">
        <v>66</v>
      </c>
      <c r="E17" s="9" t="n">
        <v>168000</v>
      </c>
      <c r="F17" s="28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25" t="n">
        <v>14</v>
      </c>
      <c r="B18" s="26" t="s">
        <v>67</v>
      </c>
      <c r="C18" s="25" t="s">
        <v>51</v>
      </c>
      <c r="D18" s="29" t="s">
        <v>68</v>
      </c>
      <c r="E18" s="9" t="n">
        <v>311000</v>
      </c>
      <c r="F18" s="28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25" t="n">
        <v>15</v>
      </c>
      <c r="B19" s="26" t="s">
        <v>69</v>
      </c>
      <c r="C19" s="25" t="s">
        <v>51</v>
      </c>
      <c r="D19" s="29" t="s">
        <v>70</v>
      </c>
      <c r="E19" s="9" t="n">
        <v>284000</v>
      </c>
      <c r="F19" s="28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25" t="n">
        <v>16</v>
      </c>
      <c r="B20" s="26" t="s">
        <v>71</v>
      </c>
      <c r="C20" s="25" t="s">
        <v>51</v>
      </c>
      <c r="D20" s="29" t="s">
        <v>72</v>
      </c>
      <c r="E20" s="9" t="n">
        <v>331000</v>
      </c>
      <c r="F20" s="28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25" t="n">
        <v>17</v>
      </c>
      <c r="B21" s="26" t="s">
        <v>73</v>
      </c>
      <c r="C21" s="25" t="s">
        <v>51</v>
      </c>
      <c r="D21" s="29" t="s">
        <v>74</v>
      </c>
      <c r="E21" s="9" t="n">
        <v>346000</v>
      </c>
      <c r="F21" s="28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25" t="n">
        <v>18</v>
      </c>
      <c r="B22" s="26" t="s">
        <v>75</v>
      </c>
      <c r="C22" s="25" t="s">
        <v>51</v>
      </c>
      <c r="D22" s="29" t="s">
        <v>76</v>
      </c>
      <c r="E22" s="9" t="n">
        <v>351000</v>
      </c>
      <c r="F22" s="28" t="n">
        <v>0.4</v>
      </c>
      <c r="G22" s="10" t="n">
        <f aca="false">ROUND(E22*F22,0)</f>
        <v>140400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30" t="s">
        <v>77</v>
      </c>
    </row>
    <row r="3" customFormat="false" ht="15" hidden="false" customHeight="false" outlineLevel="0" collapsed="false">
      <c r="A3" s="31" t="s">
        <v>78</v>
      </c>
      <c r="B3" s="32" t="n">
        <v>0.45</v>
      </c>
    </row>
    <row r="4" customFormat="false" ht="15" hidden="false" customHeight="false" outlineLevel="0" collapsed="false">
      <c r="A4" s="31" t="s">
        <v>79</v>
      </c>
      <c r="B4" s="32" t="n">
        <v>0.4</v>
      </c>
      <c r="C4" s="2" t="s">
        <v>80</v>
      </c>
    </row>
    <row r="6" customFormat="false" ht="33.75" hidden="false" customHeight="true" outlineLevel="0" collapsed="false">
      <c r="A6" s="5" t="s">
        <v>81</v>
      </c>
      <c r="B6" s="4" t="s">
        <v>33</v>
      </c>
      <c r="C6" s="4" t="s">
        <v>35</v>
      </c>
      <c r="D6" s="4" t="s">
        <v>82</v>
      </c>
      <c r="E6" s="4" t="s">
        <v>83</v>
      </c>
      <c r="F6" s="5" t="s">
        <v>84</v>
      </c>
      <c r="G6" s="4" t="s">
        <v>85</v>
      </c>
      <c r="H6" s="4" t="s">
        <v>86</v>
      </c>
    </row>
    <row r="7" customFormat="false" ht="15" hidden="false" customHeight="false" outlineLevel="0" collapsed="false">
      <c r="A7" s="26" t="s">
        <v>41</v>
      </c>
      <c r="B7" s="25" t="s">
        <v>39</v>
      </c>
      <c r="C7" s="9" t="n">
        <f aca="false">VLOOKUP(A7,단가표!$B$5:$G$22,4,FALSE())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33" t="n">
        <f aca="false">D7-E7</f>
        <v>43650</v>
      </c>
      <c r="G7" s="34" t="n">
        <f aca="false">요약!C6+요약!C8</f>
        <v>250</v>
      </c>
      <c r="H7" s="10" t="n">
        <f aca="false">F7*G7</f>
        <v>10912500</v>
      </c>
      <c r="I7" s="35" t="s">
        <v>87</v>
      </c>
    </row>
    <row r="8" customFormat="false" ht="15" hidden="false" customHeight="false" outlineLevel="0" collapsed="false">
      <c r="A8" s="26" t="s">
        <v>46</v>
      </c>
      <c r="B8" s="25" t="s">
        <v>39</v>
      </c>
      <c r="C8" s="9" t="n">
        <f aca="false">VLOOKUP(A8,단가표!$B$5:$G$22,4,FALSE())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33" t="n">
        <f aca="false">D8-E8</f>
        <v>46400</v>
      </c>
      <c r="G8" s="34" t="n">
        <f aca="false">요약!C7</f>
        <v>300</v>
      </c>
      <c r="H8" s="10" t="n">
        <f aca="false">F8*G8</f>
        <v>13920000</v>
      </c>
      <c r="I8" s="35" t="s">
        <v>88</v>
      </c>
    </row>
    <row r="9" customFormat="false" ht="15" hidden="false" customHeight="false" outlineLevel="0" collapsed="false">
      <c r="A9" s="26" t="s">
        <v>38</v>
      </c>
      <c r="B9" s="25" t="s">
        <v>39</v>
      </c>
      <c r="C9" s="9" t="n">
        <f aca="false">VLOOKUP(A9,단가표!$B$5:$G$22,4,FALSE())</f>
        <v>886000</v>
      </c>
      <c r="D9" s="9" t="n">
        <f aca="false">ROUND(C9*$B$3,0)</f>
        <v>398700</v>
      </c>
      <c r="E9" s="9" t="n">
        <f aca="false">ROUND(C9*$B$4,0)</f>
        <v>354400</v>
      </c>
      <c r="F9" s="33" t="n">
        <f aca="false">D9-E9</f>
        <v>44300</v>
      </c>
      <c r="G9" s="34" t="n">
        <f aca="false">요약!C9</f>
        <v>100</v>
      </c>
      <c r="H9" s="10" t="n">
        <f aca="false">F9*G9</f>
        <v>4430000</v>
      </c>
      <c r="I9" s="35" t="s">
        <v>17</v>
      </c>
    </row>
    <row r="10" customFormat="false" ht="15" hidden="false" customHeight="false" outlineLevel="0" collapsed="false">
      <c r="A10" s="26" t="s">
        <v>43</v>
      </c>
      <c r="B10" s="25" t="s">
        <v>44</v>
      </c>
      <c r="C10" s="9" t="n">
        <f aca="false">VLOOKUP(A10,단가표!$B$5:$G$22,4,FALSE())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33" t="n">
        <f aca="false">D10-E10</f>
        <v>42750</v>
      </c>
      <c r="G10" s="34" t="n">
        <f aca="false">요약!C6+요약!C8</f>
        <v>250</v>
      </c>
      <c r="H10" s="10" t="n">
        <f aca="false">F10*G10</f>
        <v>10687500</v>
      </c>
      <c r="I10" s="35" t="s">
        <v>89</v>
      </c>
    </row>
    <row r="11" customFormat="false" ht="15" hidden="false" customHeight="false" outlineLevel="0" collapsed="false">
      <c r="A11" s="26" t="s">
        <v>48</v>
      </c>
      <c r="B11" s="25" t="s">
        <v>44</v>
      </c>
      <c r="C11" s="9" t="n">
        <f aca="false">VLOOKUP(A11,단가표!$B$5:$G$22,4,FALSE())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33" t="n">
        <f aca="false">D11-E11</f>
        <v>45150</v>
      </c>
      <c r="G11" s="34" t="n">
        <f aca="false">요약!C7</f>
        <v>300</v>
      </c>
      <c r="H11" s="10" t="n">
        <f aca="false">F11*G11</f>
        <v>13545000</v>
      </c>
      <c r="I11" s="35" t="s">
        <v>90</v>
      </c>
    </row>
    <row r="13" customFormat="false" ht="24" hidden="false" customHeight="true" outlineLevel="0" collapsed="false">
      <c r="A13" s="36" t="s">
        <v>91</v>
      </c>
      <c r="B13" s="36"/>
      <c r="C13" s="36"/>
      <c r="D13" s="36"/>
      <c r="E13" s="36"/>
      <c r="F13" s="36"/>
      <c r="G13" s="36"/>
      <c r="H13" s="16" t="n">
        <f aca="false">H7+H8+H9</f>
        <v>29262500</v>
      </c>
    </row>
    <row r="14" customFormat="false" ht="24" hidden="false" customHeight="true" outlineLevel="0" collapsed="false">
      <c r="A14" s="36" t="s">
        <v>92</v>
      </c>
      <c r="B14" s="36"/>
      <c r="C14" s="36"/>
      <c r="D14" s="36"/>
      <c r="E14" s="36"/>
      <c r="F14" s="36"/>
      <c r="G14" s="36"/>
      <c r="H14" s="16" t="n">
        <f aca="false">H9+H10+H11</f>
        <v>28662500</v>
      </c>
    </row>
    <row r="16" customFormat="false" ht="15" hidden="false" customHeight="false" outlineLevel="0" collapsed="false">
      <c r="A16" s="37" t="s">
        <v>93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9.4" hidden="false" customHeight="false" outlineLevel="0" collapsed="false">
      <c r="A1" s="24" t="s">
        <v>94</v>
      </c>
    </row>
    <row r="2" customFormat="false" ht="15" hidden="false" customHeight="false" outlineLevel="0" collapsed="false">
      <c r="A2" s="2" t="s">
        <v>95</v>
      </c>
    </row>
    <row r="4" customFormat="false" ht="24" hidden="false" customHeight="true" outlineLevel="0" collapsed="false">
      <c r="A4" s="38" t="s">
        <v>11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1" t="s">
        <v>96</v>
      </c>
      <c r="B5" s="39" t="s">
        <v>12</v>
      </c>
      <c r="C5" s="39"/>
      <c r="D5" s="39"/>
      <c r="E5" s="39"/>
      <c r="F5" s="39"/>
    </row>
    <row r="6" customFormat="false" ht="15" hidden="false" customHeight="true" outlineLevel="0" collapsed="false">
      <c r="A6" s="31" t="s">
        <v>97</v>
      </c>
      <c r="B6" s="40" t="s">
        <v>98</v>
      </c>
      <c r="C6" s="40"/>
      <c r="D6" s="40"/>
      <c r="E6" s="40"/>
      <c r="F6" s="40"/>
    </row>
    <row r="7" customFormat="false" ht="21.75" hidden="false" customHeight="true" outlineLevel="0" collapsed="false">
      <c r="A7" s="4" t="s">
        <v>33</v>
      </c>
      <c r="B7" s="4" t="s">
        <v>32</v>
      </c>
      <c r="C7" s="4" t="s">
        <v>34</v>
      </c>
      <c r="D7" s="4" t="s">
        <v>99</v>
      </c>
      <c r="E7" s="4" t="s">
        <v>100</v>
      </c>
      <c r="F7" s="4" t="s">
        <v>101</v>
      </c>
    </row>
    <row r="8" customFormat="false" ht="15" hidden="false" customHeight="false" outlineLevel="0" collapsed="false">
      <c r="A8" s="25" t="s">
        <v>102</v>
      </c>
      <c r="B8" s="26" t="s">
        <v>41</v>
      </c>
      <c r="C8" s="41" t="str">
        <f aca="false">VLOOKUP(B8,단가표!$B$5:$G$22,3,FALSE())</f>
        <v>CPU (입력 14 / 출력 10)</v>
      </c>
      <c r="D8" s="25" t="n">
        <v>1</v>
      </c>
      <c r="E8" s="9" t="n">
        <f aca="false">VLOOKUP(B8,단가표!$B$5:$G$22,6,FALSE())</f>
        <v>392850</v>
      </c>
      <c r="F8" s="9" t="n">
        <f aca="false">D8*E8</f>
        <v>392850</v>
      </c>
    </row>
    <row r="9" customFormat="false" ht="15" hidden="false" customHeight="false" outlineLevel="0" collapsed="false">
      <c r="A9" s="42" t="s">
        <v>103</v>
      </c>
      <c r="B9" s="42"/>
      <c r="C9" s="42"/>
      <c r="D9" s="42"/>
      <c r="E9" s="42"/>
      <c r="F9" s="43" t="n">
        <f aca="false">SUM(F8:F8)</f>
        <v>392850</v>
      </c>
    </row>
    <row r="10" customFormat="false" ht="15" hidden="false" customHeight="false" outlineLevel="0" collapsed="false">
      <c r="A10" s="25" t="s">
        <v>104</v>
      </c>
      <c r="B10" s="26" t="s">
        <v>43</v>
      </c>
      <c r="C10" s="41" t="str">
        <f aca="false">VLOOKUP(B10,단가표!$B$5:$G$22,3,FALSE())</f>
        <v>CPU (입력 14 / 출력 10 = 릴레이 6 + TR 4)</v>
      </c>
      <c r="D10" s="25" t="n">
        <v>1</v>
      </c>
      <c r="E10" s="9" t="n">
        <f aca="false">VLOOKUP(B10,단가표!$B$5:$G$22,6,FALSE())</f>
        <v>384750</v>
      </c>
      <c r="F10" s="9" t="n">
        <f aca="false">D10*E10</f>
        <v>384750</v>
      </c>
    </row>
    <row r="11" customFormat="false" ht="15" hidden="false" customHeight="false" outlineLevel="0" collapsed="false">
      <c r="A11" s="42" t="s">
        <v>105</v>
      </c>
      <c r="B11" s="42"/>
      <c r="C11" s="42"/>
      <c r="D11" s="42"/>
      <c r="E11" s="42"/>
      <c r="F11" s="43" t="n">
        <f aca="false">SUM(F10:F10)</f>
        <v>384750</v>
      </c>
    </row>
    <row r="12" customFormat="false" ht="18" hidden="false" customHeight="true" outlineLevel="0" collapsed="false">
      <c r="A12" s="44" t="s">
        <v>106</v>
      </c>
      <c r="B12" s="44"/>
      <c r="C12" s="44"/>
      <c r="D12" s="44"/>
      <c r="E12" s="44"/>
      <c r="F12" s="44"/>
    </row>
    <row r="14" customFormat="false" ht="24" hidden="false" customHeight="true" outlineLevel="0" collapsed="false">
      <c r="A14" s="38" t="s">
        <v>13</v>
      </c>
      <c r="B14" s="38"/>
      <c r="C14" s="38"/>
      <c r="D14" s="38"/>
      <c r="E14" s="38"/>
      <c r="F14" s="38"/>
    </row>
    <row r="15" customFormat="false" ht="15" hidden="false" customHeight="true" outlineLevel="0" collapsed="false">
      <c r="A15" s="31" t="s">
        <v>96</v>
      </c>
      <c r="B15" s="39" t="s">
        <v>14</v>
      </c>
      <c r="C15" s="39"/>
      <c r="D15" s="39"/>
      <c r="E15" s="39"/>
      <c r="F15" s="39"/>
    </row>
    <row r="16" customFormat="false" ht="15" hidden="false" customHeight="true" outlineLevel="0" collapsed="false">
      <c r="A16" s="31" t="s">
        <v>97</v>
      </c>
      <c r="B16" s="40" t="s">
        <v>107</v>
      </c>
      <c r="C16" s="40"/>
      <c r="D16" s="40"/>
      <c r="E16" s="40"/>
      <c r="F16" s="40"/>
    </row>
    <row r="17" customFormat="false" ht="21.75" hidden="false" customHeight="true" outlineLevel="0" collapsed="false">
      <c r="A17" s="4" t="s">
        <v>33</v>
      </c>
      <c r="B17" s="4" t="s">
        <v>32</v>
      </c>
      <c r="C17" s="4" t="s">
        <v>34</v>
      </c>
      <c r="D17" s="4" t="s">
        <v>99</v>
      </c>
      <c r="E17" s="4" t="s">
        <v>100</v>
      </c>
      <c r="F17" s="4" t="s">
        <v>101</v>
      </c>
    </row>
    <row r="18" customFormat="false" ht="15" hidden="false" customHeight="false" outlineLevel="0" collapsed="false">
      <c r="A18" s="25" t="s">
        <v>102</v>
      </c>
      <c r="B18" s="26" t="s">
        <v>46</v>
      </c>
      <c r="C18" s="41" t="str">
        <f aca="false">VLOOKUP(B18,단가표!$B$5:$G$22,3,FALSE())</f>
        <v>CPU (입력 24 / 출력 16)</v>
      </c>
      <c r="D18" s="25" t="n">
        <v>1</v>
      </c>
      <c r="E18" s="9" t="n">
        <f aca="false">VLOOKUP(B18,단가표!$B$5:$G$22,6,FALSE())</f>
        <v>417600</v>
      </c>
      <c r="F18" s="9" t="n">
        <f aca="false">D18*E18</f>
        <v>417600</v>
      </c>
    </row>
    <row r="19" customFormat="false" ht="15" hidden="false" customHeight="false" outlineLevel="0" collapsed="false">
      <c r="A19" s="42" t="s">
        <v>103</v>
      </c>
      <c r="B19" s="42"/>
      <c r="C19" s="42"/>
      <c r="D19" s="42"/>
      <c r="E19" s="42"/>
      <c r="F19" s="43" t="n">
        <f aca="false">SUM(F18:F18)</f>
        <v>417600</v>
      </c>
    </row>
    <row r="20" customFormat="false" ht="15" hidden="false" customHeight="false" outlineLevel="0" collapsed="false">
      <c r="A20" s="25" t="s">
        <v>104</v>
      </c>
      <c r="B20" s="26" t="s">
        <v>48</v>
      </c>
      <c r="C20" s="41" t="str">
        <f aca="false">VLOOKUP(B20,단가표!$B$5:$G$22,3,FALSE())</f>
        <v>CPU (입력 24 / 출력 16 = 릴레이 12 + TR 4)</v>
      </c>
      <c r="D20" s="25" t="n">
        <v>1</v>
      </c>
      <c r="E20" s="9" t="n">
        <f aca="false">VLOOKUP(B20,단가표!$B$5:$G$22,6,FALSE())</f>
        <v>406350</v>
      </c>
      <c r="F20" s="9" t="n">
        <f aca="false">D20*E20</f>
        <v>406350</v>
      </c>
    </row>
    <row r="21" customFormat="false" ht="15" hidden="false" customHeight="false" outlineLevel="0" collapsed="false">
      <c r="A21" s="42" t="s">
        <v>105</v>
      </c>
      <c r="B21" s="42"/>
      <c r="C21" s="42"/>
      <c r="D21" s="42"/>
      <c r="E21" s="42"/>
      <c r="F21" s="43" t="n">
        <f aca="false">SUM(F20:F20)</f>
        <v>406350</v>
      </c>
    </row>
    <row r="22" customFormat="false" ht="30" hidden="false" customHeight="true" outlineLevel="0" collapsed="false">
      <c r="A22" s="45" t="s">
        <v>108</v>
      </c>
      <c r="B22" s="45"/>
      <c r="C22" s="45"/>
      <c r="D22" s="45"/>
      <c r="E22" s="45"/>
      <c r="F22" s="45"/>
    </row>
    <row r="24" customFormat="false" ht="24" hidden="false" customHeight="true" outlineLevel="0" collapsed="false">
      <c r="A24" s="38" t="s">
        <v>15</v>
      </c>
      <c r="B24" s="38"/>
      <c r="C24" s="38"/>
      <c r="D24" s="38"/>
      <c r="E24" s="38"/>
      <c r="F24" s="38"/>
    </row>
    <row r="25" customFormat="false" ht="15" hidden="false" customHeight="true" outlineLevel="0" collapsed="false">
      <c r="A25" s="31" t="s">
        <v>96</v>
      </c>
      <c r="B25" s="39" t="s">
        <v>16</v>
      </c>
      <c r="C25" s="39"/>
      <c r="D25" s="39"/>
      <c r="E25" s="39"/>
      <c r="F25" s="39"/>
    </row>
    <row r="26" customFormat="false" ht="15" hidden="false" customHeight="true" outlineLevel="0" collapsed="false">
      <c r="A26" s="31" t="s">
        <v>97</v>
      </c>
      <c r="B26" s="40" t="s">
        <v>109</v>
      </c>
      <c r="C26" s="40"/>
      <c r="D26" s="40"/>
      <c r="E26" s="40"/>
      <c r="F26" s="40"/>
    </row>
    <row r="27" customFormat="false" ht="21.75" hidden="false" customHeight="true" outlineLevel="0" collapsed="false">
      <c r="A27" s="4" t="s">
        <v>33</v>
      </c>
      <c r="B27" s="4" t="s">
        <v>32</v>
      </c>
      <c r="C27" s="4" t="s">
        <v>34</v>
      </c>
      <c r="D27" s="4" t="s">
        <v>99</v>
      </c>
      <c r="E27" s="4" t="s">
        <v>100</v>
      </c>
      <c r="F27" s="4" t="s">
        <v>101</v>
      </c>
    </row>
    <row r="28" customFormat="false" ht="15" hidden="false" customHeight="true" outlineLevel="0" collapsed="false">
      <c r="A28" s="25" t="s">
        <v>102</v>
      </c>
      <c r="B28" s="26" t="s">
        <v>41</v>
      </c>
      <c r="C28" s="41" t="str">
        <f aca="false">VLOOKUP(B28,단가표!$B$5:$G$22,3,FALSE())</f>
        <v>CPU (입력 14 / 출력 10)</v>
      </c>
      <c r="D28" s="25" t="n">
        <v>1</v>
      </c>
      <c r="E28" s="9" t="n">
        <f aca="false">VLOOKUP(B28,단가표!$B$5:$G$22,6,FALSE())</f>
        <v>392850</v>
      </c>
      <c r="F28" s="9" t="n">
        <f aca="false">D28*E28</f>
        <v>392850</v>
      </c>
    </row>
    <row r="29" customFormat="false" ht="15" hidden="false" customHeight="false" outlineLevel="0" collapsed="false">
      <c r="A29" s="25"/>
      <c r="B29" s="26" t="s">
        <v>73</v>
      </c>
      <c r="C29" s="41" t="str">
        <f aca="false">VLOOKUP(B29,단가표!$B$5:$G$22,3,FALSE())</f>
        <v>아날로그 출력 2CH</v>
      </c>
      <c r="D29" s="25" t="n">
        <v>1</v>
      </c>
      <c r="E29" s="9" t="n">
        <f aca="false">VLOOKUP(B29,단가표!$B$5:$G$22,6,FALSE())</f>
        <v>138400</v>
      </c>
      <c r="F29" s="9" t="n">
        <f aca="false">D29*E29</f>
        <v>138400</v>
      </c>
    </row>
    <row r="30" customFormat="false" ht="15" hidden="false" customHeight="false" outlineLevel="0" collapsed="false">
      <c r="A30" s="42" t="s">
        <v>103</v>
      </c>
      <c r="B30" s="42"/>
      <c r="C30" s="42"/>
      <c r="D30" s="42"/>
      <c r="E30" s="42"/>
      <c r="F30" s="43" t="n">
        <f aca="false">SUM(F28:F29)</f>
        <v>531250</v>
      </c>
    </row>
    <row r="31" customFormat="false" ht="15" hidden="false" customHeight="true" outlineLevel="0" collapsed="false">
      <c r="A31" s="25" t="s">
        <v>104</v>
      </c>
      <c r="B31" s="26" t="s">
        <v>43</v>
      </c>
      <c r="C31" s="41" t="str">
        <f aca="false">VLOOKUP(B31,단가표!$B$5:$G$22,3,FALSE())</f>
        <v>CPU (입력 14 / 출력 10 = 릴레이 6 + TR 4)</v>
      </c>
      <c r="D31" s="25" t="n">
        <v>1</v>
      </c>
      <c r="E31" s="9" t="n">
        <f aca="false">VLOOKUP(B31,단가표!$B$5:$G$22,6,FALSE())</f>
        <v>384750</v>
      </c>
      <c r="F31" s="9" t="n">
        <f aca="false">D31*E31</f>
        <v>384750</v>
      </c>
    </row>
    <row r="32" customFormat="false" ht="15" hidden="false" customHeight="false" outlineLevel="0" collapsed="false">
      <c r="A32" s="25"/>
      <c r="B32" s="26" t="s">
        <v>73</v>
      </c>
      <c r="C32" s="41" t="str">
        <f aca="false">VLOOKUP(B32,단가표!$B$5:$G$22,3,FALSE())</f>
        <v>아날로그 출력 2CH</v>
      </c>
      <c r="D32" s="25" t="n">
        <v>1</v>
      </c>
      <c r="E32" s="9" t="n">
        <f aca="false">VLOOKUP(B32,단가표!$B$5:$G$22,6,FALSE())</f>
        <v>138400</v>
      </c>
      <c r="F32" s="9" t="n">
        <f aca="false">D32*E32</f>
        <v>138400</v>
      </c>
    </row>
    <row r="33" customFormat="false" ht="15" hidden="false" customHeight="false" outlineLevel="0" collapsed="false">
      <c r="A33" s="42" t="s">
        <v>105</v>
      </c>
      <c r="B33" s="42"/>
      <c r="C33" s="42"/>
      <c r="D33" s="42"/>
      <c r="E33" s="42"/>
      <c r="F33" s="43" t="n">
        <f aca="false">SUM(F31:F32)</f>
        <v>523150</v>
      </c>
    </row>
    <row r="34" customFormat="false" ht="18" hidden="false" customHeight="true" outlineLevel="0" collapsed="false">
      <c r="A34" s="44" t="s">
        <v>110</v>
      </c>
      <c r="B34" s="44"/>
      <c r="C34" s="44"/>
      <c r="D34" s="44"/>
      <c r="E34" s="44"/>
      <c r="F34" s="44"/>
    </row>
    <row r="36" customFormat="false" ht="24" hidden="false" customHeight="true" outlineLevel="0" collapsed="false">
      <c r="A36" s="38" t="s">
        <v>17</v>
      </c>
      <c r="B36" s="38"/>
      <c r="C36" s="38"/>
      <c r="D36" s="38"/>
      <c r="E36" s="38"/>
      <c r="F36" s="38"/>
    </row>
    <row r="37" customFormat="false" ht="15" hidden="false" customHeight="true" outlineLevel="0" collapsed="false">
      <c r="A37" s="31" t="s">
        <v>96</v>
      </c>
      <c r="B37" s="39" t="s">
        <v>18</v>
      </c>
      <c r="C37" s="39"/>
      <c r="D37" s="39"/>
      <c r="E37" s="39"/>
      <c r="F37" s="39"/>
    </row>
    <row r="38" customFormat="false" ht="15" hidden="false" customHeight="true" outlineLevel="0" collapsed="false">
      <c r="A38" s="31" t="s">
        <v>97</v>
      </c>
      <c r="B38" s="40" t="s">
        <v>111</v>
      </c>
      <c r="C38" s="40"/>
      <c r="D38" s="40"/>
      <c r="E38" s="40"/>
      <c r="F38" s="40"/>
    </row>
    <row r="39" customFormat="false" ht="21.75" hidden="false" customHeight="true" outlineLevel="0" collapsed="false">
      <c r="A39" s="4" t="s">
        <v>33</v>
      </c>
      <c r="B39" s="4" t="s">
        <v>32</v>
      </c>
      <c r="C39" s="4" t="s">
        <v>34</v>
      </c>
      <c r="D39" s="4" t="s">
        <v>99</v>
      </c>
      <c r="E39" s="4" t="s">
        <v>100</v>
      </c>
      <c r="F39" s="4" t="s">
        <v>101</v>
      </c>
    </row>
    <row r="40" customFormat="false" ht="15" hidden="false" customHeight="true" outlineLevel="0" collapsed="false">
      <c r="A40" s="25" t="s">
        <v>112</v>
      </c>
      <c r="B40" s="26" t="s">
        <v>38</v>
      </c>
      <c r="C40" s="41" t="str">
        <f aca="false">VLOOKUP(B40,단가표!$B$5:$G$22,3,FALSE())</f>
        <v>CPU + 이더넷 (입력 14 / 출력 10)</v>
      </c>
      <c r="D40" s="25" t="n">
        <v>1</v>
      </c>
      <c r="E40" s="9" t="n">
        <f aca="false">VLOOKUP(B40,단가표!$B$5:$G$22,6,FALSE())</f>
        <v>398700</v>
      </c>
      <c r="F40" s="9" t="n">
        <f aca="false">D40*E40</f>
        <v>398700</v>
      </c>
    </row>
    <row r="41" customFormat="false" ht="15" hidden="false" customHeight="false" outlineLevel="0" collapsed="false">
      <c r="A41" s="25"/>
      <c r="B41" s="26" t="s">
        <v>50</v>
      </c>
      <c r="C41" s="41" t="str">
        <f aca="false">VLOOKUP(B41,단가표!$B$5:$G$22,3,FALSE())</f>
        <v>디지털 입력 16점</v>
      </c>
      <c r="D41" s="25" t="n">
        <v>6</v>
      </c>
      <c r="E41" s="9" t="n">
        <f aca="false">VLOOKUP(B41,단가표!$B$5:$G$22,6,FALSE())</f>
        <v>91200</v>
      </c>
      <c r="F41" s="9" t="n">
        <f aca="false">D41*E41</f>
        <v>547200</v>
      </c>
    </row>
    <row r="42" customFormat="false" ht="15" hidden="false" customHeight="false" outlineLevel="0" collapsed="false">
      <c r="A42" s="25"/>
      <c r="B42" s="26" t="s">
        <v>55</v>
      </c>
      <c r="C42" s="41" t="str">
        <f aca="false">VLOOKUP(B42,단가표!$B$5:$G$22,3,FALSE())</f>
        <v>릴레이 출력 16점</v>
      </c>
      <c r="D42" s="25" t="n">
        <v>4</v>
      </c>
      <c r="E42" s="9" t="n">
        <f aca="false">VLOOKUP(B42,단가표!$B$5:$G$22,6,FALSE())</f>
        <v>90800</v>
      </c>
      <c r="F42" s="9" t="n">
        <f aca="false">D42*E42</f>
        <v>363200</v>
      </c>
    </row>
    <row r="43" customFormat="false" ht="15" hidden="false" customHeight="false" outlineLevel="0" collapsed="false">
      <c r="A43" s="25"/>
      <c r="B43" s="26" t="s">
        <v>75</v>
      </c>
      <c r="C43" s="41" t="str">
        <f aca="false">VLOOKUP(B43,단가표!$B$5:$G$22,3,FALSE())</f>
        <v>아날로그 출력 4CH</v>
      </c>
      <c r="D43" s="25" t="n">
        <v>1</v>
      </c>
      <c r="E43" s="9" t="n">
        <f aca="false">VLOOKUP(B43,단가표!$B$5:$G$22,6,FALSE())</f>
        <v>140400</v>
      </c>
      <c r="F43" s="9" t="n">
        <f aca="false">D43*E43</f>
        <v>140400</v>
      </c>
    </row>
    <row r="44" customFormat="false" ht="15" hidden="false" customHeight="false" outlineLevel="0" collapsed="false">
      <c r="A44" s="42" t="s">
        <v>103</v>
      </c>
      <c r="B44" s="42"/>
      <c r="C44" s="42"/>
      <c r="D44" s="42"/>
      <c r="E44" s="42"/>
      <c r="F44" s="43" t="n">
        <f aca="false">SUM(F40:F43)</f>
        <v>1449500</v>
      </c>
    </row>
    <row r="45" customFormat="false" ht="30" hidden="false" customHeight="true" outlineLevel="0" collapsed="false">
      <c r="A45" s="45" t="s">
        <v>113</v>
      </c>
      <c r="B45" s="45"/>
      <c r="C45" s="45"/>
      <c r="D45" s="45"/>
      <c r="E45" s="45"/>
      <c r="F45" s="45"/>
    </row>
  </sheetData>
  <mergeCells count="26">
    <mergeCell ref="A4:F4"/>
    <mergeCell ref="B5:F5"/>
    <mergeCell ref="B6:F6"/>
    <mergeCell ref="A9:E9"/>
    <mergeCell ref="A11:E11"/>
    <mergeCell ref="A12:F12"/>
    <mergeCell ref="A14:F14"/>
    <mergeCell ref="B15:F15"/>
    <mergeCell ref="B16:F16"/>
    <mergeCell ref="A19:E19"/>
    <mergeCell ref="A21:E21"/>
    <mergeCell ref="A22:F22"/>
    <mergeCell ref="A24:F24"/>
    <mergeCell ref="B25:F25"/>
    <mergeCell ref="B26:F26"/>
    <mergeCell ref="A28:A29"/>
    <mergeCell ref="A30:E30"/>
    <mergeCell ref="A31:A32"/>
    <mergeCell ref="A33:E33"/>
    <mergeCell ref="A34:F34"/>
    <mergeCell ref="A36:F36"/>
    <mergeCell ref="B37:F37"/>
    <mergeCell ref="B38:F38"/>
    <mergeCell ref="A40:A43"/>
    <mergeCell ref="A44:E44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2026-10-05T03:41:52Z</dcterms:created>
  <dc:creator>openpyxl</dc:creator>
  <dc:description/>
  <dc:language>en-US</dc:language>
  <cp:lastModifiedBy/>
  <dcterms:modified xsi:type="dcterms:W3CDTF">2026-10-05T03:41:52Z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