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Schneider 제안 검토" sheetId="2" state="visible" r:id="rId4"/>
    <sheet name="마진 계산" sheetId="3" state="visible" r:id="rId5"/>
    <sheet name="프로젝트별 구성" sheetId="4" state="visible" r:id="rId6"/>
    <sheet name="CPU 할인 효과" sheetId="5" state="visible" r:id="rId7"/>
    <sheet name="단가표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<sst xmlns="http://schemas.openxmlformats.org/spreadsheetml/2006/main" count="380" uniqueCount="238">
  <si>
    <r>
      <rPr>
        <b val="true"/>
        <sz val="16"/>
        <color rgb="FF1F3864"/>
        <rFont val="맑은 고딕"/>
        <family val="0"/>
        <charset val="1"/>
      </rPr>
      <t xml:space="preserve">PLC </t>
    </r>
    <r>
      <rPr>
        <b val="true"/>
        <sz val="16"/>
        <color rgb="FF1F3864"/>
        <rFont val="WenQuanYi Zen Hei"/>
        <family val="2"/>
      </rPr>
      <t xml:space="preserve">교체 견적 요약  </t>
    </r>
    <r>
      <rPr>
        <b val="true"/>
        <sz val="16"/>
        <color rgb="FF1F3864"/>
        <rFont val="맑은 고딕"/>
        <family val="0"/>
        <charset val="1"/>
      </rPr>
      <t xml:space="preserve">(ABB → Schneider M241)</t>
    </r>
  </si>
  <si>
    <r>
      <rPr>
        <sz val="9"/>
        <color rgb="FF595959"/>
        <rFont val="WenQuanYi Zen Hei"/>
        <family val="2"/>
      </rPr>
      <t xml:space="preserve">기준</t>
    </r>
    <r>
      <rPr>
        <sz val="9"/>
        <color rgb="FF595959"/>
        <rFont val="맑은 고딕"/>
        <family val="0"/>
        <charset val="1"/>
      </rPr>
      <t xml:space="preserve">: Techross RFQ 'PLC </t>
    </r>
    <r>
      <rPr>
        <sz val="9"/>
        <color rgb="FF595959"/>
        <rFont val="WenQuanYi Zen Hei"/>
        <family val="2"/>
      </rPr>
      <t xml:space="preserve">사양서 </t>
    </r>
    <r>
      <rPr>
        <sz val="9"/>
        <color rgb="FF595959"/>
        <rFont val="맑은 고딕"/>
        <family val="0"/>
        <charset val="1"/>
      </rPr>
      <t xml:space="preserve">R3.1'  ·  </t>
    </r>
    <r>
      <rPr>
        <sz val="9"/>
        <color rgb="FF595959"/>
        <rFont val="WenQuanYi Zen Hei"/>
        <family val="2"/>
      </rPr>
      <t xml:space="preserve">단가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할인 적용 매입가  </t>
    </r>
    <r>
      <rPr>
        <sz val="9"/>
        <color rgb="FF595959"/>
        <rFont val="맑은 고딕"/>
        <family val="0"/>
        <charset val="1"/>
      </rPr>
      <t xml:space="preserve">·  </t>
    </r>
    <r>
      <rPr>
        <sz val="9"/>
        <color rgb="FF595959"/>
        <rFont val="WenQuanYi Zen Hei"/>
        <family val="2"/>
      </rPr>
      <t xml:space="preserve">단위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원</t>
    </r>
  </si>
  <si>
    <t xml:space="preserve">노란 칸</t>
  </si>
  <si>
    <r>
      <rPr>
        <sz val="9"/>
        <color rgb="FF595959"/>
        <rFont val="WenQuanYi Zen Hei"/>
        <family val="2"/>
      </rPr>
      <t xml:space="preserve">← 바꿔도 되는 값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바꾸면 금액이 자동으로 다시 계산됩니다</t>
    </r>
    <r>
      <rPr>
        <sz val="9"/>
        <color rgb="FF595959"/>
        <rFont val="맑은 고딕"/>
        <family val="0"/>
        <charset val="1"/>
      </rPr>
      <t xml:space="preserve">)</t>
    </r>
  </si>
  <si>
    <t xml:space="preserve">프로젝트</t>
  </si>
  <si>
    <r>
      <rPr>
        <b val="true"/>
        <sz val="10"/>
        <color rgb="FFFFFFFF"/>
        <rFont val="WenQuanYi Zen Hei"/>
        <family val="2"/>
      </rPr>
      <t xml:space="preserve">기존 </t>
    </r>
    <r>
      <rPr>
        <b val="true"/>
        <sz val="10"/>
        <color rgb="FFFFFFFF"/>
        <rFont val="맑은 고딕"/>
        <family val="0"/>
        <charset val="1"/>
      </rPr>
      <t xml:space="preserve">PLC (ABB)</t>
    </r>
  </si>
  <si>
    <r>
      <rPr>
        <b val="true"/>
        <sz val="10"/>
        <color rgb="FFFFFFFF"/>
        <rFont val="WenQuanYi Zen Hei"/>
        <family val="2"/>
      </rPr>
      <t xml:space="preserve">연간 구매수량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</si>
  <si>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가격
</t>
    </r>
    <r>
      <rPr>
        <b val="true"/>
        <sz val="10"/>
        <color rgb="FFFFFFFF"/>
        <rFont val="맑은 고딕"/>
        <family val="0"/>
        <charset val="1"/>
      </rPr>
      <t xml:space="preserve">DC24V (</t>
    </r>
    <r>
      <rPr>
        <b val="true"/>
        <sz val="10"/>
        <color rgb="FFFFFFFF"/>
        <rFont val="WenQuanYi Zen Hei"/>
        <family val="2"/>
      </rPr>
      <t xml:space="preserve">권장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</si>
  <si>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 가격
</t>
    </r>
    <r>
      <rPr>
        <b val="true"/>
        <sz val="10"/>
        <color rgb="FFFFFFFF"/>
        <rFont val="맑은 고딕"/>
        <family val="0"/>
        <charset val="1"/>
      </rPr>
      <t xml:space="preserve">AC220V</t>
    </r>
  </si>
  <si>
    <r>
      <rPr>
        <b val="true"/>
        <sz val="10"/>
        <color rgb="FFFFFFFF"/>
        <rFont val="WenQuanYi Zen Hei"/>
        <family val="2"/>
      </rPr>
      <t xml:space="preserve">연간 금액
</t>
    </r>
    <r>
      <rPr>
        <b val="true"/>
        <sz val="10"/>
        <color rgb="FFFFFFFF"/>
        <rFont val="맑은 고딕"/>
        <family val="0"/>
        <charset val="1"/>
      </rPr>
      <t xml:space="preserve">DC24V (</t>
    </r>
    <r>
      <rPr>
        <b val="true"/>
        <sz val="10"/>
        <color rgb="FFFFFFFF"/>
        <rFont val="WenQuanYi Zen Hei"/>
        <family val="2"/>
      </rPr>
      <t xml:space="preserve">권장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</si>
  <si>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연간 금액
</t>
    </r>
    <r>
      <rPr>
        <b val="true"/>
        <sz val="10"/>
        <color rgb="FFFFFFFF"/>
        <rFont val="맑은 고딕"/>
        <family val="0"/>
        <charset val="1"/>
      </rPr>
      <t xml:space="preserve">AC220V</t>
    </r>
  </si>
  <si>
    <t xml:space="preserve">TSU</t>
  </si>
  <si>
    <t xml:space="preserve">ABB PM554-RP + DO571</t>
  </si>
  <si>
    <t xml:space="preserve">ANU</t>
  </si>
  <si>
    <t xml:space="preserve">ABB PM554-RP + DO571 + AO561</t>
  </si>
  <si>
    <t xml:space="preserve">ANU-S</t>
  </si>
  <si>
    <t xml:space="preserve">ABB PM564-RP</t>
  </si>
  <si>
    <t xml:space="preserve">MCC</t>
  </si>
  <si>
    <t xml:space="preserve">ABB PM564-RP-ETH + DI562×6 + DO573×3 + AO561×2</t>
  </si>
  <si>
    <r>
      <rPr>
        <sz val="9"/>
        <color rgb="FF7F7F7F"/>
        <rFont val="맑은 고딕"/>
        <family val="0"/>
        <charset val="1"/>
      </rPr>
      <t xml:space="preserve">DC24V</t>
    </r>
    <r>
      <rPr>
        <sz val="9"/>
        <color rgb="FF7F7F7F"/>
        <rFont val="WenQuanYi Zen Hei"/>
        <family val="2"/>
      </rPr>
      <t xml:space="preserve">만 가능</t>
    </r>
  </si>
  <si>
    <t xml:space="preserve">합계</t>
  </si>
  <si>
    <r>
      <rPr>
        <sz val="8"/>
        <color rgb="FF7F7F7F"/>
        <rFont val="맑은 고딕"/>
        <family val="0"/>
        <charset val="1"/>
      </rPr>
      <t xml:space="preserve">※ AC220V </t>
    </r>
    <r>
      <rPr>
        <sz val="8"/>
        <color rgb="FF7F7F7F"/>
        <rFont val="WenQuanYi Zen Hei"/>
        <family val="2"/>
      </rPr>
      <t xml:space="preserve">연간 금액 합계에는 </t>
    </r>
    <r>
      <rPr>
        <sz val="8"/>
        <color rgb="FF7F7F7F"/>
        <rFont val="맑은 고딕"/>
        <family val="0"/>
        <charset val="1"/>
      </rPr>
      <t xml:space="preserve">MCC</t>
    </r>
    <r>
      <rPr>
        <sz val="8"/>
        <color rgb="FF7F7F7F"/>
        <rFont val="WenQuanYi Zen Hei"/>
        <family val="2"/>
      </rPr>
      <t xml:space="preserve">를 </t>
    </r>
    <r>
      <rPr>
        <sz val="8"/>
        <color rgb="FF7F7F7F"/>
        <rFont val="맑은 고딕"/>
        <family val="0"/>
        <charset val="1"/>
      </rPr>
      <t xml:space="preserve">DC24V </t>
    </r>
    <r>
      <rPr>
        <sz val="8"/>
        <color rgb="FF7F7F7F"/>
        <rFont val="WenQuanYi Zen Hei"/>
        <family val="2"/>
      </rPr>
      <t xml:space="preserve">가격으로 넣었습니다 </t>
    </r>
    <r>
      <rPr>
        <sz val="8"/>
        <color rgb="FF7F7F7F"/>
        <rFont val="맑은 고딕"/>
        <family val="0"/>
        <charset val="1"/>
      </rPr>
      <t xml:space="preserve">(MCC</t>
    </r>
    <r>
      <rPr>
        <sz val="8"/>
        <color rgb="FF7F7F7F"/>
        <rFont val="WenQuanYi Zen Hei"/>
        <family val="2"/>
      </rPr>
      <t xml:space="preserve">는 </t>
    </r>
    <r>
      <rPr>
        <sz val="8"/>
        <color rgb="FF7F7F7F"/>
        <rFont val="맑은 고딕"/>
        <family val="0"/>
        <charset val="1"/>
      </rPr>
      <t xml:space="preserve">DC24V</t>
    </r>
    <r>
      <rPr>
        <sz val="8"/>
        <color rgb="FF7F7F7F"/>
        <rFont val="WenQuanYi Zen Hei"/>
        <family val="2"/>
      </rPr>
      <t xml:space="preserve">만 가능</t>
    </r>
    <r>
      <rPr>
        <sz val="8"/>
        <color rgb="FF7F7F7F"/>
        <rFont val="맑은 고딕"/>
        <family val="0"/>
        <charset val="1"/>
      </rPr>
      <t xml:space="preserve">).</t>
    </r>
  </si>
  <si>
    <t xml:space="preserve">핵심 정리</t>
  </si>
  <si>
    <r>
      <rPr>
        <sz val="10"/>
        <color rgb="FF375623"/>
        <rFont val="맑은 고딕"/>
        <family val="0"/>
        <charset val="1"/>
      </rPr>
      <t xml:space="preserve">② TSU · ANU · ANU-S: Schneider </t>
    </r>
    <r>
      <rPr>
        <sz val="10"/>
        <color rgb="FF375623"/>
        <rFont val="WenQuanYi Zen Hei"/>
        <family val="2"/>
      </rPr>
      <t xml:space="preserve">제안 구성과 같고</t>
    </r>
    <r>
      <rPr>
        <sz val="10"/>
        <color rgb="FF375623"/>
        <rFont val="맑은 고딕"/>
        <family val="0"/>
        <charset val="1"/>
      </rPr>
      <t xml:space="preserve">, RFQ </t>
    </r>
    <r>
      <rPr>
        <sz val="10"/>
        <color rgb="FF375623"/>
        <rFont val="WenQuanYi Zen Hei"/>
        <family val="2"/>
      </rPr>
      <t xml:space="preserve">조건을 충족합니다</t>
    </r>
    <r>
      <rPr>
        <sz val="10"/>
        <color rgb="FF375623"/>
        <rFont val="맑은 고딕"/>
        <family val="0"/>
        <charset val="1"/>
      </rPr>
      <t xml:space="preserve">.</t>
    </r>
  </si>
  <si>
    <r>
      <rPr>
        <sz val="10"/>
        <color rgb="FFC00000"/>
        <rFont val="맑은 고딕"/>
        <family val="0"/>
        <charset val="1"/>
      </rPr>
      <t xml:space="preserve">③ MCC: Schneider </t>
    </r>
    <r>
      <rPr>
        <sz val="10"/>
        <color rgb="FFC00000"/>
        <rFont val="WenQuanYi Zen Hei"/>
        <family val="2"/>
      </rPr>
      <t xml:space="preserve">제안은 </t>
    </r>
    <r>
      <rPr>
        <sz val="10"/>
        <color rgb="FFC00000"/>
        <rFont val="맑은 고딕"/>
        <family val="0"/>
        <charset val="1"/>
      </rPr>
      <t xml:space="preserve">RFQ </t>
    </r>
    <r>
      <rPr>
        <sz val="10"/>
        <color rgb="FFC00000"/>
        <rFont val="WenQuanYi Zen Hei"/>
        <family val="2"/>
      </rPr>
      <t xml:space="preserve">조건 미달 → 재견적 필요</t>
    </r>
    <r>
      <rPr>
        <sz val="10"/>
        <color rgb="FFC00000"/>
        <rFont val="맑은 고딕"/>
        <family val="0"/>
        <charset val="1"/>
      </rPr>
      <t xml:space="preserve">.  (</t>
    </r>
    <r>
      <rPr>
        <sz val="10"/>
        <color rgb="FFC00000"/>
        <rFont val="WenQuanYi Zen Hei"/>
        <family val="2"/>
      </rPr>
      <t xml:space="preserve">릴레이 출력이어야 하는데 트랜지스터로 제안</t>
    </r>
    <r>
      <rPr>
        <sz val="10"/>
        <color rgb="FFC00000"/>
        <rFont val="맑은 고딕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입력 </t>
    </r>
    <r>
      <rPr>
        <sz val="10"/>
        <color rgb="FFC00000"/>
        <rFont val="맑은 고딕"/>
        <family val="0"/>
        <charset val="1"/>
      </rPr>
      <t xml:space="preserve">38</t>
    </r>
    <r>
      <rPr>
        <sz val="10"/>
        <color rgb="FFC00000"/>
        <rFont val="WenQuanYi Zen Hei"/>
        <family val="2"/>
      </rPr>
      <t xml:space="preserve">점 </t>
    </r>
    <r>
      <rPr>
        <sz val="10"/>
        <color rgb="FFC00000"/>
        <rFont val="맑은 고딕"/>
        <family val="0"/>
        <charset val="1"/>
      </rPr>
      <t xml:space="preserve">· </t>
    </r>
    <r>
      <rPr>
        <sz val="10"/>
        <color rgb="FFC00000"/>
        <rFont val="WenQuanYi Zen Hei"/>
        <family val="2"/>
      </rPr>
      <t xml:space="preserve">출력 </t>
    </r>
    <r>
      <rPr>
        <sz val="10"/>
        <color rgb="FFC00000"/>
        <rFont val="맑은 고딕"/>
        <family val="0"/>
        <charset val="1"/>
      </rPr>
      <t xml:space="preserve">14</t>
    </r>
    <r>
      <rPr>
        <sz val="10"/>
        <color rgb="FFC00000"/>
        <rFont val="WenQuanYi Zen Hei"/>
        <family val="2"/>
      </rPr>
      <t xml:space="preserve">점 </t>
    </r>
    <r>
      <rPr>
        <sz val="10"/>
        <color rgb="FFC00000"/>
        <rFont val="맑은 고딕"/>
        <family val="0"/>
        <charset val="1"/>
      </rPr>
      <t xml:space="preserve">· </t>
    </r>
    <r>
      <rPr>
        <sz val="10"/>
        <color rgb="FFC00000"/>
        <rFont val="WenQuanYi Zen Hei"/>
        <family val="2"/>
      </rPr>
      <t xml:space="preserve">아날로그 출력 </t>
    </r>
    <r>
      <rPr>
        <sz val="10"/>
        <color rgb="FFC00000"/>
        <rFont val="맑은 고딕"/>
        <family val="0"/>
        <charset val="1"/>
      </rPr>
      <t xml:space="preserve">2CH </t>
    </r>
    <r>
      <rPr>
        <sz val="10"/>
        <color rgb="FFC00000"/>
        <rFont val="WenQuanYi Zen Hei"/>
        <family val="2"/>
      </rPr>
      <t xml:space="preserve">부족</t>
    </r>
    <r>
      <rPr>
        <sz val="10"/>
        <color rgb="FFC00000"/>
        <rFont val="맑은 고딕"/>
        <family val="0"/>
        <charset val="1"/>
      </rPr>
      <t xml:space="preserve">)  </t>
    </r>
    <r>
      <rPr>
        <sz val="10"/>
        <color rgb="FFC00000"/>
        <rFont val="WenQuanYi Zen Hei"/>
        <family val="2"/>
      </rPr>
      <t xml:space="preserve">위 표의 </t>
    </r>
    <r>
      <rPr>
        <sz val="10"/>
        <color rgb="FFC00000"/>
        <rFont val="맑은 고딕"/>
        <family val="0"/>
        <charset val="1"/>
      </rPr>
      <t xml:space="preserve">MCC </t>
    </r>
    <r>
      <rPr>
        <sz val="10"/>
        <color rgb="FFC00000"/>
        <rFont val="WenQuanYi Zen Hei"/>
        <family val="2"/>
      </rPr>
      <t xml:space="preserve">가격은 조건을 맞춘 구성 기준입니다</t>
    </r>
    <r>
      <rPr>
        <sz val="10"/>
        <color rgb="FFC00000"/>
        <rFont val="맑은 고딕"/>
        <family val="0"/>
        <charset val="1"/>
      </rPr>
      <t xml:space="preserve">.</t>
    </r>
  </si>
  <si>
    <r>
      <rPr>
        <sz val="10"/>
        <color rgb="FFC00000"/>
        <rFont val="맑은 고딕"/>
        <family val="0"/>
        <charset val="1"/>
      </rPr>
      <t xml:space="preserve">④ MCC</t>
    </r>
    <r>
      <rPr>
        <sz val="10"/>
        <color rgb="FFC00000"/>
        <rFont val="WenQuanYi Zen Hei"/>
        <family val="2"/>
      </rPr>
      <t xml:space="preserve">는 확장 모듈이 </t>
    </r>
    <r>
      <rPr>
        <sz val="10"/>
        <color rgb="FFC00000"/>
        <rFont val="맑은 고딕"/>
        <family val="0"/>
        <charset val="1"/>
      </rPr>
      <t xml:space="preserve">11</t>
    </r>
    <r>
      <rPr>
        <sz val="10"/>
        <color rgb="FFC00000"/>
        <rFont val="WenQuanYi Zen Hei"/>
        <family val="2"/>
      </rPr>
      <t xml:space="preserve">개라 버스 확장 부품</t>
    </r>
    <r>
      <rPr>
        <sz val="10"/>
        <color rgb="FFC00000"/>
        <rFont val="맑은 고딕"/>
        <family val="0"/>
        <charset val="1"/>
      </rPr>
      <t xml:space="preserve">(TM3XTRA1 / TM3XREC1)</t>
    </r>
    <r>
      <rPr>
        <sz val="10"/>
        <color rgb="FFC00000"/>
        <rFont val="WenQuanYi Zen Hei"/>
        <family val="2"/>
      </rPr>
      <t xml:space="preserve">이 더 필요합니다 — 가격 미포함</t>
    </r>
    <r>
      <rPr>
        <sz val="10"/>
        <color rgb="FFC00000"/>
        <rFont val="맑은 고딕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견적 요청 필요</t>
    </r>
    <r>
      <rPr>
        <sz val="10"/>
        <color rgb="FFC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</si>
  <si>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⑤ ANU: </t>
    </r>
    <r>
      <rPr>
        <sz val="10"/>
        <color rgb="FF000000"/>
        <rFont val="WenQuanYi Zen Hei"/>
        <family val="2"/>
      </rPr>
      <t xml:space="preserve">기존 </t>
    </r>
    <r>
      <rPr>
        <sz val="10"/>
        <color rgb="FF000000"/>
        <rFont val="맑은 고딕"/>
        <family val="0"/>
        <charset val="1"/>
      </rPr>
      <t xml:space="preserve">AO561(</t>
    </r>
    <r>
      <rPr>
        <sz val="10"/>
        <color rgb="FF000000"/>
        <rFont val="WenQuanYi Zen Hei"/>
        <family val="2"/>
      </rPr>
      <t xml:space="preserve">아날로그 출력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맑은 고딕"/>
        <family val="0"/>
        <charset val="1"/>
      </rPr>
      <t xml:space="preserve">RFQ </t>
    </r>
    <r>
      <rPr>
        <sz val="10"/>
        <color rgb="FF000000"/>
        <rFont val="WenQuanYi Zen Hei"/>
        <family val="2"/>
      </rPr>
      <t xml:space="preserve">필수 사양에 없어 뺐습니다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실제로 쓰고 있다면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대당 </t>
    </r>
    <r>
      <rPr>
        <sz val="10"/>
        <color rgb="FF000000"/>
        <rFont val="맑은 고딕"/>
        <family val="0"/>
        <charset val="1"/>
      </rPr>
      <t xml:space="preserve">138,400</t>
    </r>
    <r>
      <rPr>
        <sz val="10"/>
        <color rgb="FF000000"/>
        <rFont val="WenQuanYi Zen Hei"/>
        <family val="2"/>
      </rPr>
      <t xml:space="preserve">원 추가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</si>
  <si>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⑥ CPU </t>
    </r>
    <r>
      <rPr>
        <sz val="10"/>
        <color rgb="FF000000"/>
        <rFont val="WenQuanYi Zen Hei"/>
        <family val="2"/>
      </rPr>
      <t xml:space="preserve">할인율을 </t>
    </r>
    <r>
      <rPr>
        <sz val="10"/>
        <color rgb="FF000000"/>
        <rFont val="맑은 고딕"/>
        <family val="0"/>
        <charset val="1"/>
      </rPr>
      <t xml:space="preserve">0.45 → 0.40</t>
    </r>
    <r>
      <rPr>
        <sz val="10"/>
        <color rgb="FF000000"/>
        <rFont val="WenQuanYi Zen Hei"/>
        <family val="2"/>
      </rPr>
      <t xml:space="preserve">으로 받으면 연간 약 </t>
    </r>
    <r>
      <rPr>
        <sz val="10"/>
        <color rgb="FF000000"/>
        <rFont val="맑은 고딕"/>
        <family val="0"/>
        <charset val="1"/>
      </rPr>
      <t xml:space="preserve">2,900</t>
    </r>
    <r>
      <rPr>
        <sz val="10"/>
        <color rgb="FF000000"/>
        <rFont val="WenQuanYi Zen Hei"/>
        <family val="2"/>
      </rPr>
      <t xml:space="preserve">만 원 절감 </t>
    </r>
    <r>
      <rPr>
        <sz val="10"/>
        <color rgb="FF000000"/>
        <rFont val="맑은 고딕"/>
        <family val="0"/>
        <charset val="1"/>
      </rPr>
      <t xml:space="preserve">('CPU </t>
    </r>
    <r>
      <rPr>
        <sz val="10"/>
        <color rgb="FF000000"/>
        <rFont val="WenQuanYi Zen Hei"/>
        <family val="2"/>
      </rPr>
      <t xml:space="preserve">할인 효과</t>
    </r>
    <r>
      <rPr>
        <sz val="10"/>
        <color rgb="FF000000"/>
        <rFont val="맑은 고딕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시트</t>
    </r>
    <r>
      <rPr>
        <sz val="10"/>
        <color rgb="FF000000"/>
        <rFont val="맑은 고딕"/>
        <family val="0"/>
        <charset val="1"/>
      </rPr>
      <t xml:space="preserve">).</t>
    </r>
  </si>
  <si>
    <r>
      <rPr>
        <sz val="10"/>
        <color rgb="FF000000"/>
        <rFont val="WenQuanYi Zen Hei"/>
        <family val="2"/>
      </rPr>
      <t xml:space="preserve">⑦ 받은 단가가 </t>
    </r>
    <r>
      <rPr>
        <sz val="10"/>
        <color rgb="FF000000"/>
        <rFont val="맑은 고딕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년 가격 기준인지 확인이 필요합니다 </t>
    </r>
    <r>
      <rPr>
        <sz val="10"/>
        <color rgb="FF000000"/>
        <rFont val="맑은 고딕"/>
        <family val="0"/>
        <charset val="1"/>
      </rPr>
      <t xml:space="preserve">(RFQ </t>
    </r>
    <r>
      <rPr>
        <sz val="10"/>
        <color rgb="FF000000"/>
        <rFont val="WenQuanYi Zen Hei"/>
        <family val="2"/>
      </rPr>
      <t xml:space="preserve">조건</t>
    </r>
    <r>
      <rPr>
        <sz val="10"/>
        <color rgb="FF000000"/>
        <rFont val="맑은 고딕"/>
        <family val="0"/>
        <charset val="1"/>
      </rPr>
      <t xml:space="preserve">).</t>
    </r>
  </si>
  <si>
    <r>
      <rPr>
        <b val="true"/>
        <sz val="14"/>
        <color rgb="FF1F3864"/>
        <rFont val="맑은 고딕"/>
        <family val="0"/>
        <charset val="1"/>
      </rPr>
      <t xml:space="preserve">Schneider </t>
    </r>
    <r>
      <rPr>
        <b val="true"/>
        <sz val="14"/>
        <color rgb="FF1F3864"/>
        <rFont val="WenQuanYi Zen Hei"/>
        <family val="2"/>
      </rPr>
      <t xml:space="preserve">제안 검토  —  </t>
    </r>
    <r>
      <rPr>
        <b val="true"/>
        <sz val="14"/>
        <color rgb="FF1F3864"/>
        <rFont val="맑은 고딕"/>
        <family val="0"/>
        <charset val="1"/>
      </rPr>
      <t xml:space="preserve">Techross RFQ 'PLC </t>
    </r>
    <r>
      <rPr>
        <b val="true"/>
        <sz val="14"/>
        <color rgb="FF1F3864"/>
        <rFont val="WenQuanYi Zen Hei"/>
        <family val="2"/>
      </rPr>
      <t xml:space="preserve">사양서 </t>
    </r>
    <r>
      <rPr>
        <b val="true"/>
        <sz val="14"/>
        <color rgb="FF1F3864"/>
        <rFont val="맑은 고딕"/>
        <family val="0"/>
        <charset val="1"/>
      </rPr>
      <t xml:space="preserve">R3.1' </t>
    </r>
    <r>
      <rPr>
        <b val="true"/>
        <sz val="14"/>
        <color rgb="FF1F3864"/>
        <rFont val="WenQuanYi Zen Hei"/>
        <family val="2"/>
      </rPr>
      <t xml:space="preserve">대비</t>
    </r>
  </si>
  <si>
    <r>
      <rPr>
        <sz val="9"/>
        <color rgb="FF595959"/>
        <rFont val="WenQuanYi Zen Hei"/>
        <family val="2"/>
      </rPr>
      <t xml:space="preserve">검토 대상</t>
    </r>
    <r>
      <rPr>
        <sz val="9"/>
        <color rgb="FF595959"/>
        <rFont val="맑은 고딕"/>
        <family val="0"/>
        <charset val="1"/>
      </rPr>
      <t xml:space="preserve">: Schneider 'PLC Configuration for Techross R3.1' (</t>
    </r>
    <r>
      <rPr>
        <sz val="9"/>
        <color rgb="FF595959"/>
        <rFont val="WenQuanYi Zen Hei"/>
        <family val="2"/>
      </rPr>
      <t xml:space="preserve">프로젝트별 구성도</t>
    </r>
    <r>
      <rPr>
        <sz val="9"/>
        <color rgb="FF595959"/>
        <rFont val="맑은 고딕"/>
        <family val="0"/>
        <charset val="1"/>
      </rPr>
      <t xml:space="preserve">) + RFQ Table1 (PLC </t>
    </r>
    <r>
      <rPr>
        <sz val="9"/>
        <color rgb="FF595959"/>
        <rFont val="WenQuanYi Zen Hei"/>
        <family val="2"/>
      </rPr>
      <t xml:space="preserve">세부 내용 표</t>
    </r>
    <r>
      <rPr>
        <sz val="9"/>
        <color rgb="FF595959"/>
        <rFont val="맑은 고딕"/>
        <family val="0"/>
        <charset val="1"/>
      </rPr>
      <t xml:space="preserve">)</t>
    </r>
  </si>
  <si>
    <t xml:space="preserve">○ 적합</t>
  </si>
  <si>
    <t xml:space="preserve">△ 보완 필요</t>
  </si>
  <si>
    <r>
      <rPr>
        <b val="true"/>
        <sz val="9"/>
        <color rgb="FFC00000"/>
        <rFont val="맑은 고딕"/>
        <family val="0"/>
        <charset val="1"/>
      </rPr>
      <t xml:space="preserve">✕ RFQ </t>
    </r>
    <r>
      <rPr>
        <b val="true"/>
        <sz val="9"/>
        <color rgb="FFC00000"/>
        <rFont val="WenQuanYi Zen Hei"/>
        <family val="2"/>
      </rPr>
      <t xml:space="preserve">미충족 — 반드시 수정</t>
    </r>
  </si>
  <si>
    <t xml:space="preserve">No.</t>
  </si>
  <si>
    <t xml:space="preserve">구분</t>
  </si>
  <si>
    <t xml:space="preserve">검토 항목</t>
  </si>
  <si>
    <r>
      <rPr>
        <b val="true"/>
        <sz val="10"/>
        <color rgb="FFFFFFFF"/>
        <rFont val="맑은 고딕"/>
        <family val="0"/>
        <charset val="1"/>
      </rPr>
      <t xml:space="preserve">Techross </t>
    </r>
    <r>
      <rPr>
        <b val="true"/>
        <sz val="10"/>
        <color rgb="FFFFFFFF"/>
        <rFont val="WenQuanYi Zen Hei"/>
        <family val="2"/>
      </rPr>
      <t xml:space="preserve">요구 </t>
    </r>
    <r>
      <rPr>
        <b val="true"/>
        <sz val="10"/>
        <color rgb="FFFFFFFF"/>
        <rFont val="맑은 고딕"/>
        <family val="0"/>
        <charset val="1"/>
      </rPr>
      <t xml:space="preserve">(RFQ)</t>
    </r>
  </si>
  <si>
    <r>
      <rPr>
        <b val="true"/>
        <sz val="10"/>
        <color rgb="FFFFFFFF"/>
        <rFont val="맑은 고딕"/>
        <family val="0"/>
        <charset val="1"/>
      </rPr>
      <t xml:space="preserve">Schneider </t>
    </r>
    <r>
      <rPr>
        <b val="true"/>
        <sz val="10"/>
        <color rgb="FFFFFFFF"/>
        <rFont val="WenQuanYi Zen Hei"/>
        <family val="2"/>
      </rPr>
      <t xml:space="preserve">제안</t>
    </r>
  </si>
  <si>
    <t xml:space="preserve">판정</t>
  </si>
  <si>
    <r>
      <rPr>
        <b val="true"/>
        <sz val="10"/>
        <color rgb="FFFFFFFF"/>
        <rFont val="WenQuanYi Zen Hei"/>
        <family val="2"/>
      </rPr>
      <t xml:space="preserve">수정 </t>
    </r>
    <r>
      <rPr>
        <b val="true"/>
        <sz val="10"/>
        <color rgb="FFFFFFFF"/>
        <rFont val="맑은 고딕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요청 사항</t>
    </r>
  </si>
  <si>
    <t xml:space="preserve">구성</t>
  </si>
  <si>
    <r>
      <rPr>
        <b val="true"/>
        <sz val="10"/>
        <color rgb="FF000000"/>
        <rFont val="맑은 고딕"/>
        <family val="0"/>
        <charset val="1"/>
      </rPr>
      <t xml:space="preserve">TSU </t>
    </r>
    <r>
      <rPr>
        <b val="true"/>
        <sz val="10"/>
        <color rgb="FF000000"/>
        <rFont val="WenQuanYi Zen Hei"/>
        <family val="2"/>
      </rPr>
      <t xml:space="preserve">구성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</si>
  <si>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3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6 / Serial 2CH (+10% </t>
    </r>
    <r>
      <rPr>
        <sz val="9"/>
        <color rgb="FF000000"/>
        <rFont val="WenQuanYi Zen Hei"/>
        <family val="2"/>
      </rPr>
      <t xml:space="preserve">여유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</si>
  <si>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맑은 고딕"/>
        <family val="0"/>
        <charset val="1"/>
      </rPr>
      <t xml:space="preserve">TM241C24R (AC) / TM241C24T (DC):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10 / Serial 2CH</t>
    </r>
  </si>
  <si>
    <t xml:space="preserve">○</t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</si>
  <si>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M241 </t>
    </r>
    <r>
      <rPr>
        <sz val="9"/>
        <color rgb="FF000000"/>
        <rFont val="WenQuanYi Zen Hei"/>
        <family val="2"/>
      </rPr>
      <t xml:space="preserve">중 가장 작은 </t>
    </r>
    <r>
      <rPr>
        <sz val="9"/>
        <color rgb="FF000000"/>
        <rFont val="맑은 고딕"/>
        <family val="0"/>
        <charset val="1"/>
      </rPr>
      <t xml:space="preserve">CPU</t>
    </r>
    <r>
      <rPr>
        <sz val="9"/>
        <color rgb="FF000000"/>
        <rFont val="WenQuanYi Zen Hei"/>
        <family val="2"/>
      </rPr>
      <t xml:space="preserve">라 과잉 사양 아님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</si>
  <si>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ANU </t>
    </r>
    <r>
      <rPr>
        <b val="true"/>
        <sz val="10"/>
        <color rgb="FF000000"/>
        <rFont val="WenQuanYi Zen Hei"/>
        <family val="2"/>
      </rPr>
      <t xml:space="preserve">구성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</si>
  <si>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6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12 / Serial 2CH (+10% </t>
    </r>
    <r>
      <rPr>
        <sz val="9"/>
        <color rgb="FF000000"/>
        <rFont val="WenQuanYi Zen Hei"/>
        <family val="2"/>
      </rPr>
      <t xml:space="preserve">여유 → 출력 </t>
    </r>
    <r>
      <rPr>
        <sz val="9"/>
        <color rgb="FF000000"/>
        <rFont val="맑은 고딕"/>
        <family val="0"/>
        <charset val="1"/>
      </rPr>
      <t xml:space="preserve">14 </t>
    </r>
    <r>
      <rPr>
        <sz val="9"/>
        <color rgb="FF000000"/>
        <rFont val="WenQuanYi Zen Hei"/>
        <family val="2"/>
      </rPr>
      <t xml:space="preserve">필요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</si>
  <si>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맑은 고딕"/>
        <family val="0"/>
        <charset val="1"/>
      </rPr>
      <t xml:space="preserve">TM241C40R (AC) / TM241C40T (DC):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24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16 / Serial 2CH</t>
    </r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</si>
  <si>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24</t>
    </r>
    <r>
      <rPr>
        <sz val="9"/>
        <color rgb="FF000000"/>
        <rFont val="WenQuanYi Zen Hei"/>
        <family val="2"/>
      </rPr>
      <t xml:space="preserve">점 </t>
    </r>
    <r>
      <rPr>
        <sz val="9"/>
        <color rgb="FF000000"/>
        <rFont val="맑은 고딕"/>
        <family val="0"/>
        <charset val="1"/>
      </rPr>
      <t xml:space="preserve">CPU +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8</t>
    </r>
    <r>
      <rPr>
        <sz val="9"/>
        <color rgb="FF000000"/>
        <rFont val="WenQuanYi Zen Hei"/>
        <family val="2"/>
      </rPr>
      <t xml:space="preserve">점 모듈보다 싸서 가격면에서도 맞는 선택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</si>
  <si>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ANU-S </t>
    </r>
    <r>
      <rPr>
        <b val="true"/>
        <sz val="10"/>
        <color rgb="FF000000"/>
        <rFont val="WenQuanYi Zen Hei"/>
        <family val="2"/>
      </rPr>
      <t xml:space="preserve">구성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</si>
  <si>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3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5 /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1CH / Serial 2CH</t>
    </r>
  </si>
  <si>
    <r>
      <rPr>
        <sz val="9"/>
        <color rgb="FF000000"/>
        <rFont val="맑은 고딕"/>
        <family val="0"/>
        <charset val="1"/>
      </rPr>
      <t xml:space="preserve">TM241C24R·C24T + TM3AQ2: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10 /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2CH</t>
    </r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</si>
  <si>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(M241</t>
    </r>
    <r>
      <rPr>
        <sz val="9"/>
        <color rgb="FF000000"/>
        <rFont val="WenQuanYi Zen Hei"/>
        <family val="2"/>
      </rPr>
      <t xml:space="preserve">에는 아날로그 출력이 내장되어 있지 않아 </t>
    </r>
    <r>
      <rPr>
        <sz val="9"/>
        <color rgb="FF000000"/>
        <rFont val="맑은 고딕"/>
        <family val="0"/>
        <charset val="1"/>
      </rPr>
      <t xml:space="preserve">TM3AQ2 </t>
    </r>
    <r>
      <rPr>
        <sz val="9"/>
        <color rgb="FF000000"/>
        <rFont val="WenQuanYi Zen Hei"/>
        <family val="2"/>
      </rPr>
      <t xml:space="preserve">추가가 맞음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</si>
  <si>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000000"/>
        <rFont val="맑은 고딕"/>
        <family val="0"/>
        <charset val="1"/>
      </rPr>
      <t xml:space="preserve">MCC </t>
    </r>
    <r>
      <rPr>
        <b val="true"/>
        <sz val="10"/>
        <color rgb="FF000000"/>
        <rFont val="WenQuanYi Zen Hei"/>
        <family val="2"/>
      </rPr>
      <t xml:space="preserve">출력 방식</t>
    </r>
  </si>
  <si>
    <r>
      <rPr>
        <sz val="9"/>
        <color rgb="FF000000"/>
        <rFont val="맑은 고딕"/>
        <family val="0"/>
        <charset val="1"/>
      </rPr>
      <t xml:space="preserve">Relay Type Only (</t>
    </r>
    <r>
      <rPr>
        <sz val="9"/>
        <color rgb="FF000000"/>
        <rFont val="WenQuanYi Zen Hei"/>
        <family val="2"/>
      </rPr>
      <t xml:space="preserve">공통사항 </t>
    </r>
    <r>
      <rPr>
        <sz val="9"/>
        <color rgb="FF000000"/>
        <rFont val="맑은 고딕"/>
        <family val="0"/>
        <charset val="1"/>
      </rPr>
      <t xml:space="preserve">5)</t>
    </r>
  </si>
  <si>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40</t>
    </r>
    <r>
      <rPr>
        <sz val="9"/>
        <color rgb="FF000000"/>
        <rFont val="WenQuanYi Zen Hei"/>
        <family val="2"/>
      </rPr>
      <t xml:space="preserve">점 전부 트랜지스터 </t>
    </r>
    <r>
      <rPr>
        <sz val="9"/>
        <color rgb="FF000000"/>
        <rFont val="맑은 고딕"/>
        <family val="0"/>
        <charset val="1"/>
      </rPr>
      <t xml:space="preserve">(TM241CE40T </t>
    </r>
    <r>
      <rPr>
        <sz val="9"/>
        <color rgb="FF000000"/>
        <rFont val="WenQuanYi Zen Hei"/>
        <family val="2"/>
      </rPr>
      <t xml:space="preserve">내장 </t>
    </r>
    <r>
      <rPr>
        <sz val="9"/>
        <color rgb="FF000000"/>
        <rFont val="맑은 고딕"/>
        <family val="0"/>
        <charset val="1"/>
      </rPr>
      <t xml:space="preserve">TR + TM3DQ16T + TM3DQ8T)</t>
    </r>
  </si>
  <si>
    <t xml:space="preserve">✕</t>
  </si>
  <si>
    <r>
      <rPr>
        <b val="true"/>
        <sz val="9"/>
        <color rgb="FFC00000"/>
        <rFont val="WenQuanYi Zen Hei"/>
        <family val="2"/>
      </rPr>
      <t xml:space="preserve">출력 모듈을 릴레이</t>
    </r>
    <r>
      <rPr>
        <b val="true"/>
        <sz val="9"/>
        <color rgb="FFC00000"/>
        <rFont val="맑은 고딕"/>
        <family val="0"/>
        <charset val="1"/>
      </rPr>
      <t xml:space="preserve">(TM3DQ16R)</t>
    </r>
    <r>
      <rPr>
        <b val="true"/>
        <sz val="9"/>
        <color rgb="FFC00000"/>
        <rFont val="WenQuanYi Zen Hei"/>
        <family val="2"/>
      </rPr>
      <t xml:space="preserve">로 변경</t>
    </r>
    <r>
      <rPr>
        <b val="true"/>
        <sz val="9"/>
        <color rgb="FFC00000"/>
        <rFont val="맑은 고딕"/>
        <family val="0"/>
        <charset val="1"/>
      </rPr>
      <t xml:space="preserve">. CPU </t>
    </r>
    <r>
      <rPr>
        <b val="true"/>
        <sz val="9"/>
        <color rgb="FFC00000"/>
        <rFont val="WenQuanYi Zen Hei"/>
        <family val="2"/>
      </rPr>
      <t xml:space="preserve">내장 </t>
    </r>
    <r>
      <rPr>
        <b val="true"/>
        <sz val="9"/>
        <color rgb="FFC00000"/>
        <rFont val="맑은 고딕"/>
        <family val="0"/>
        <charset val="1"/>
      </rPr>
      <t xml:space="preserve">TR </t>
    </r>
    <r>
      <rPr>
        <b val="true"/>
        <sz val="9"/>
        <color rgb="FFC00000"/>
        <rFont val="WenQuanYi Zen Hei"/>
        <family val="2"/>
      </rPr>
      <t xml:space="preserve">출력은 사용하지 않는 것으로 명시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</si>
  <si>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MCC I/O </t>
    </r>
    <r>
      <rPr>
        <b val="true"/>
        <sz val="10"/>
        <color rgb="FF000000"/>
        <rFont val="WenQuanYi Zen Hei"/>
        <family val="2"/>
      </rPr>
      <t xml:space="preserve">점수</t>
    </r>
  </si>
  <si>
    <r>
      <rPr>
        <sz val="9"/>
        <color rgb="FF000000"/>
        <rFont val="WenQuanYi Zen Hei"/>
        <family val="2"/>
      </rPr>
      <t xml:space="preserve">현행 유지</t>
    </r>
    <r>
      <rPr>
        <sz val="9"/>
        <color rgb="FF000000"/>
        <rFont val="맑은 고딕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102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54 /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4CH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</si>
  <si>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64 /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40 / </t>
    </r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2CH</t>
    </r>
  </si>
  <si>
    <r>
      <rPr>
        <b val="true"/>
        <sz val="9"/>
        <color rgb="FFC00000"/>
        <rFont val="WenQuanYi Zen Hei"/>
        <family val="2"/>
      </rPr>
      <t xml:space="preserve">입력 </t>
    </r>
    <r>
      <rPr>
        <b val="true"/>
        <sz val="9"/>
        <color rgb="FFC00000"/>
        <rFont val="맑은 고딕"/>
        <family val="0"/>
        <charset val="1"/>
      </rPr>
      <t xml:space="preserve">38</t>
    </r>
    <r>
      <rPr>
        <b val="true"/>
        <sz val="9"/>
        <color rgb="FFC00000"/>
        <rFont val="WenQuanYi Zen Hei"/>
        <family val="2"/>
      </rPr>
      <t xml:space="preserve">점 </t>
    </r>
    <r>
      <rPr>
        <b val="true"/>
        <sz val="9"/>
        <color rgb="FFC00000"/>
        <rFont val="맑은 고딕"/>
        <family val="0"/>
        <charset val="1"/>
      </rPr>
      <t xml:space="preserve">· </t>
    </r>
    <r>
      <rPr>
        <b val="true"/>
        <sz val="9"/>
        <color rgb="FFC00000"/>
        <rFont val="WenQuanYi Zen Hei"/>
        <family val="2"/>
      </rPr>
      <t xml:space="preserve">출력 </t>
    </r>
    <r>
      <rPr>
        <b val="true"/>
        <sz val="9"/>
        <color rgb="FFC00000"/>
        <rFont val="맑은 고딕"/>
        <family val="0"/>
        <charset val="1"/>
      </rPr>
      <t xml:space="preserve">14</t>
    </r>
    <r>
      <rPr>
        <b val="true"/>
        <sz val="9"/>
        <color rgb="FFC00000"/>
        <rFont val="WenQuanYi Zen Hei"/>
        <family val="2"/>
      </rPr>
      <t xml:space="preserve">점 </t>
    </r>
    <r>
      <rPr>
        <b val="true"/>
        <sz val="9"/>
        <color rgb="FFC00000"/>
        <rFont val="맑은 고딕"/>
        <family val="0"/>
        <charset val="1"/>
      </rPr>
      <t xml:space="preserve">· </t>
    </r>
    <r>
      <rPr>
        <b val="true"/>
        <sz val="9"/>
        <color rgb="FFC00000"/>
        <rFont val="WenQuanYi Zen Hei"/>
        <family val="2"/>
      </rPr>
      <t xml:space="preserve">아날로그 출력 </t>
    </r>
    <r>
      <rPr>
        <b val="true"/>
        <sz val="9"/>
        <color rgb="FFC00000"/>
        <rFont val="맑은 고딕"/>
        <family val="0"/>
        <charset val="1"/>
      </rPr>
      <t xml:space="preserve">2CH </t>
    </r>
    <r>
      <rPr>
        <b val="true"/>
        <sz val="9"/>
        <color rgb="FFC00000"/>
        <rFont val="WenQuanYi Zen Hei"/>
        <family val="2"/>
      </rPr>
      <t xml:space="preserve">부족 </t>
    </r>
    <r>
      <rPr>
        <b val="true"/>
        <sz val="9"/>
        <color rgb="FFC00000"/>
        <rFont val="맑은 고딕"/>
        <family val="0"/>
        <charset val="1"/>
      </rPr>
      <t xml:space="preserve">(±10% </t>
    </r>
    <r>
      <rPr>
        <b val="true"/>
        <sz val="9"/>
        <color rgb="FFC00000"/>
        <rFont val="WenQuanYi Zen Hei"/>
        <family val="2"/>
      </rPr>
      <t xml:space="preserve">허용을 감안해도 미달</t>
    </r>
    <r>
      <rPr>
        <b val="true"/>
        <sz val="9"/>
        <color rgb="FFC00000"/>
        <rFont val="맑은 고딕"/>
        <family val="0"/>
        <charset val="1"/>
      </rPr>
      <t xml:space="preserve">). </t>
    </r>
    <r>
      <rPr>
        <b val="true"/>
        <sz val="9"/>
        <color rgb="FFC00000"/>
        <rFont val="WenQuanYi Zen Hei"/>
        <family val="2"/>
      </rPr>
      <t xml:space="preserve">아래 </t>
    </r>
    <r>
      <rPr>
        <b val="true"/>
        <sz val="9"/>
        <color rgb="FFC00000"/>
        <rFont val="맑은 고딕"/>
        <family val="0"/>
        <charset val="1"/>
      </rPr>
      <t xml:space="preserve">'MCC </t>
    </r>
    <r>
      <rPr>
        <b val="true"/>
        <sz val="9"/>
        <color rgb="FFC00000"/>
        <rFont val="WenQuanYi Zen Hei"/>
        <family val="2"/>
      </rPr>
      <t xml:space="preserve">수정 구성</t>
    </r>
    <r>
      <rPr>
        <b val="true"/>
        <sz val="9"/>
        <color rgb="FFC00000"/>
        <rFont val="맑은 고딕"/>
        <family val="0"/>
        <charset val="1"/>
      </rPr>
      <t xml:space="preserve">' </t>
    </r>
    <r>
      <rPr>
        <b val="true"/>
        <sz val="9"/>
        <color rgb="FFC00000"/>
        <rFont val="WenQuanYi Zen Hei"/>
        <family val="2"/>
      </rPr>
      <t xml:space="preserve">참고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</si>
  <si>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MCC </t>
    </r>
    <r>
      <rPr>
        <b val="true"/>
        <sz val="10"/>
        <color rgb="FF000000"/>
        <rFont val="WenQuanYi Zen Hei"/>
        <family val="2"/>
      </rPr>
      <t xml:space="preserve">통신</t>
    </r>
  </si>
  <si>
    <t xml:space="preserve">Serial 1CH + Ethernet 1CH</t>
  </si>
  <si>
    <t xml:space="preserve">TM241CE40T: Serial 2CH + Ethernet 1CH</t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</si>
  <si>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</si>
  <si>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MCC </t>
    </r>
    <r>
      <rPr>
        <b val="true"/>
        <sz val="10"/>
        <color rgb="FF000000"/>
        <rFont val="WenQuanYi Zen Hei"/>
        <family val="2"/>
      </rPr>
      <t xml:space="preserve">확장 모듈 수</t>
    </r>
  </si>
  <si>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점수를 맞추면 모듈 </t>
    </r>
    <r>
      <rPr>
        <sz val="9"/>
        <color rgb="FF000000"/>
        <rFont val="맑은 고딕"/>
        <family val="0"/>
        <charset val="1"/>
      </rPr>
      <t xml:space="preserve">10~11</t>
    </r>
    <r>
      <rPr>
        <sz val="9"/>
        <color rgb="FF000000"/>
        <rFont val="WenQuanYi Zen Hei"/>
        <family val="2"/>
      </rPr>
      <t xml:space="preserve">개 필요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</si>
  <si>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WenQuanYi Zen Hei"/>
        <family val="2"/>
      </rPr>
      <t xml:space="preserve">모듈 </t>
    </r>
    <r>
      <rPr>
        <sz val="9"/>
        <color rgb="FF000000"/>
        <rFont val="맑은 고딕"/>
        <family val="0"/>
        <charset val="1"/>
      </rPr>
      <t xml:space="preserve">6</t>
    </r>
    <r>
      <rPr>
        <sz val="9"/>
        <color rgb="FF000000"/>
        <rFont val="WenQuanYi Zen Hei"/>
        <family val="2"/>
      </rPr>
      <t xml:space="preserve">개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점수가 부족해서 </t>
    </r>
    <r>
      <rPr>
        <sz val="9"/>
        <color rgb="FF000000"/>
        <rFont val="맑은 고딕"/>
        <family val="0"/>
        <charset val="1"/>
      </rPr>
      <t xml:space="preserve">7</t>
    </r>
    <r>
      <rPr>
        <sz val="9"/>
        <color rgb="FF000000"/>
        <rFont val="WenQuanYi Zen Hei"/>
        <family val="2"/>
      </rPr>
      <t xml:space="preserve">개 이내</t>
    </r>
    <r>
      <rPr>
        <sz val="9"/>
        <color rgb="FF000000"/>
        <rFont val="맑은 고딕"/>
        <family val="0"/>
        <charset val="1"/>
      </rPr>
      <t xml:space="preserve">)</t>
    </r>
  </si>
  <si>
    <t xml:space="preserve">△</t>
  </si>
  <si>
    <r>
      <rPr>
        <b val="true"/>
        <sz val="9"/>
        <color rgb="FF7F6000"/>
        <rFont val="맑은 고딕"/>
        <family val="0"/>
        <charset val="1"/>
      </rPr>
      <t xml:space="preserve">M241</t>
    </r>
    <r>
      <rPr>
        <b val="true"/>
        <sz val="9"/>
        <color rgb="FF7F6000"/>
        <rFont val="WenQuanYi Zen Hei"/>
        <family val="2"/>
      </rPr>
      <t xml:space="preserve">은 확장 모듈 </t>
    </r>
    <r>
      <rPr>
        <b val="true"/>
        <sz val="9"/>
        <color rgb="FF7F6000"/>
        <rFont val="맑은 고딕"/>
        <family val="0"/>
        <charset val="1"/>
      </rPr>
      <t xml:space="preserve">7</t>
    </r>
    <r>
      <rPr>
        <b val="true"/>
        <sz val="9"/>
        <color rgb="FF7F6000"/>
        <rFont val="WenQuanYi Zen Hei"/>
        <family val="2"/>
      </rPr>
      <t xml:space="preserve">개까지만 직접 연결 → 버스 확장</t>
    </r>
    <r>
      <rPr>
        <b val="true"/>
        <sz val="9"/>
        <color rgb="FF7F6000"/>
        <rFont val="맑은 고딕"/>
        <family val="0"/>
        <charset val="1"/>
      </rPr>
      <t xml:space="preserve">(TM3XTRA1 + TM3XREC1) </t>
    </r>
    <r>
      <rPr>
        <b val="true"/>
        <sz val="9"/>
        <color rgb="FF7F6000"/>
        <rFont val="WenQuanYi Zen Hei"/>
        <family val="2"/>
      </rPr>
      <t xml:space="preserve">포함하고 전원 용량 검토 필요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</si>
  <si>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t xml:space="preserve">공통</t>
  </si>
  <si>
    <t xml:space="preserve">정격 전압</t>
  </si>
  <si>
    <r>
      <rPr>
        <sz val="9"/>
        <color rgb="FF000000"/>
        <rFont val="맑은 고딕"/>
        <family val="0"/>
        <charset val="1"/>
      </rPr>
      <t xml:space="preserve">TSU·ANU·ANU-S: AC220V, DC24V </t>
    </r>
    <r>
      <rPr>
        <sz val="9"/>
        <color rgb="FF000000"/>
        <rFont val="WenQuanYi Zen Hei"/>
        <family val="2"/>
      </rPr>
      <t xml:space="preserve">각각 </t>
    </r>
    <r>
      <rPr>
        <sz val="9"/>
        <color rgb="FF000000"/>
        <rFont val="맑은 고딕"/>
        <family val="0"/>
        <charset val="1"/>
      </rPr>
      <t xml:space="preserve">/ MCC: DC24V</t>
    </r>
  </si>
  <si>
    <r>
      <rPr>
        <sz val="9"/>
        <color rgb="FF000000"/>
        <rFont val="맑은 고딕"/>
        <family val="0"/>
        <charset val="1"/>
      </rPr>
      <t xml:space="preserve">TSU·ANU·ANU-S: AC·DC </t>
    </r>
    <r>
      <rPr>
        <sz val="9"/>
        <color rgb="FF000000"/>
        <rFont val="WenQuanYi Zen Hei"/>
        <family val="2"/>
      </rPr>
      <t xml:space="preserve">각각 제안 </t>
    </r>
    <r>
      <rPr>
        <sz val="9"/>
        <color rgb="FF000000"/>
        <rFont val="맑은 고딕"/>
        <family val="0"/>
        <charset val="1"/>
      </rPr>
      <t xml:space="preserve">/ MCC: DC24V</t>
    </r>
  </si>
  <si>
    <r>
      <rPr>
        <b val="true"/>
        <sz val="10"/>
        <color rgb="FF000000"/>
        <rFont val="맑은 고딕"/>
        <family val="0"/>
        <charset val="1"/>
      </rPr>
      <t xml:space="preserve">I/O </t>
    </r>
    <r>
      <rPr>
        <b val="true"/>
        <sz val="10"/>
        <color rgb="FF000000"/>
        <rFont val="WenQuanYi Zen Hei"/>
        <family val="2"/>
      </rPr>
      <t xml:space="preserve">모델 </t>
    </r>
    <r>
      <rPr>
        <b val="true"/>
        <sz val="10"/>
        <color rgb="FF000000"/>
        <rFont val="맑은 고딕"/>
        <family val="0"/>
        <charset val="1"/>
      </rPr>
      <t xml:space="preserve">(RFQ #1 </t>
    </r>
    <r>
      <rPr>
        <b val="true"/>
        <sz val="10"/>
        <color rgb="FF000000"/>
        <rFont val="WenQuanYi Zen Hei"/>
        <family val="2"/>
      </rPr>
      <t xml:space="preserve">후보군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</si>
  <si>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000000"/>
        <rFont val="맑은 고딕"/>
        <family val="0"/>
        <charset val="1"/>
      </rPr>
      <t xml:space="preserve">Schneider </t>
    </r>
    <r>
      <rPr>
        <sz val="9"/>
        <color rgb="FF000000"/>
        <rFont val="WenQuanYi Zen Hei"/>
        <family val="2"/>
      </rPr>
      <t xml:space="preserve">후보</t>
    </r>
    <r>
      <rPr>
        <sz val="9"/>
        <color rgb="FF000000"/>
        <rFont val="맑은 고딕"/>
        <family val="0"/>
        <charset val="1"/>
      </rPr>
      <t xml:space="preserve">: TM3DI8, TM3DQ8R/T/U, TM3AI2H, TM3AQ2 (16·4CH </t>
    </r>
    <r>
      <rPr>
        <sz val="9"/>
        <color rgb="FF000000"/>
        <rFont val="WenQuanYi Zen Hei"/>
        <family val="2"/>
      </rPr>
      <t xml:space="preserve">포함</t>
    </r>
    <r>
      <rPr>
        <sz val="9"/>
        <color rgb="FF000000"/>
        <rFont val="맑은 고딕"/>
        <family val="0"/>
        <charset val="1"/>
      </rPr>
      <t xml:space="preserve">)</t>
    </r>
  </si>
  <si>
    <t xml:space="preserve">TM3DI16, TM3DI8, TM3DQ16T, TM3DQ8T, TM3AQ2</t>
  </si>
  <si>
    <r>
      <rPr>
        <sz val="9"/>
        <color rgb="FF000000"/>
        <rFont val="WenQuanYi Zen Hei"/>
        <family val="2"/>
      </rPr>
      <t xml:space="preserve">후보군 안에서 선택함</t>
    </r>
    <r>
      <rPr>
        <sz val="9"/>
        <color rgb="FF000000"/>
        <rFont val="맑은 고딕"/>
        <family val="0"/>
        <charset val="1"/>
      </rPr>
      <t xml:space="preserve">. MCC</t>
    </r>
    <r>
      <rPr>
        <sz val="9"/>
        <color rgb="FF000000"/>
        <rFont val="WenQuanYi Zen Hei"/>
        <family val="2"/>
      </rPr>
      <t xml:space="preserve">는 </t>
    </r>
    <r>
      <rPr>
        <sz val="9"/>
        <color rgb="FF000000"/>
        <rFont val="맑은 고딕"/>
        <family val="0"/>
        <charset val="1"/>
      </rPr>
      <t xml:space="preserve">T </t>
    </r>
    <r>
      <rPr>
        <sz val="9"/>
        <color rgb="FF000000"/>
        <rFont val="WenQuanYi Zen Hei"/>
        <family val="2"/>
      </rPr>
      <t xml:space="preserve">타입 → </t>
    </r>
    <r>
      <rPr>
        <sz val="9"/>
        <color rgb="FF000000"/>
        <rFont val="맑은 고딕"/>
        <family val="0"/>
        <charset val="1"/>
      </rPr>
      <t xml:space="preserve">R </t>
    </r>
    <r>
      <rPr>
        <sz val="9"/>
        <color rgb="FF000000"/>
        <rFont val="WenQuanYi Zen Hei"/>
        <family val="2"/>
      </rPr>
      <t xml:space="preserve">타입으로만 바꾸면 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</si>
  <si>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AC220V</t>
    </r>
    <r>
      <rPr>
        <b val="true"/>
        <sz val="10"/>
        <color rgb="FF000000"/>
        <rFont val="WenQuanYi Zen Hei"/>
        <family val="2"/>
      </rPr>
      <t xml:space="preserve">안 릴레이 수</t>
    </r>
  </si>
  <si>
    <r>
      <rPr>
        <sz val="9"/>
        <color rgb="FF000000"/>
        <rFont val="맑은 고딕"/>
        <family val="0"/>
        <charset val="1"/>
      </rPr>
      <t xml:space="preserve">TSU·ANU·ANU-S</t>
    </r>
    <r>
      <rPr>
        <sz val="9"/>
        <color rgb="FF000000"/>
        <rFont val="WenQuanYi Zen Hei"/>
        <family val="2"/>
      </rPr>
      <t xml:space="preserve">는 </t>
    </r>
    <r>
      <rPr>
        <sz val="9"/>
        <color rgb="FF000000"/>
        <rFont val="맑은 고딕"/>
        <family val="0"/>
        <charset val="1"/>
      </rPr>
      <t xml:space="preserve">Relay·TR </t>
    </r>
    <r>
      <rPr>
        <sz val="9"/>
        <color rgb="FF000000"/>
        <rFont val="WenQuanYi Zen Hei"/>
        <family val="2"/>
      </rPr>
      <t xml:space="preserve">둘 다 가능</t>
    </r>
  </si>
  <si>
    <r>
      <rPr>
        <sz val="9"/>
        <color rgb="FF000000"/>
        <rFont val="맑은 고딕"/>
        <family val="0"/>
        <charset val="1"/>
      </rPr>
      <t xml:space="preserve">TM241C24R: </t>
    </r>
    <r>
      <rPr>
        <sz val="9"/>
        <color rgb="FF000000"/>
        <rFont val="WenQuanYi Zen Hei"/>
        <family val="2"/>
      </rPr>
      <t xml:space="preserve">릴레이 </t>
    </r>
    <r>
      <rPr>
        <sz val="9"/>
        <color rgb="FF000000"/>
        <rFont val="맑은 고딕"/>
        <family val="0"/>
        <charset val="1"/>
      </rPr>
      <t xml:space="preserve">6 + TR 4 / TM241C40R: </t>
    </r>
    <r>
      <rPr>
        <sz val="9"/>
        <color rgb="FF000000"/>
        <rFont val="WenQuanYi Zen Hei"/>
        <family val="2"/>
      </rPr>
      <t xml:space="preserve">릴레이 </t>
    </r>
    <r>
      <rPr>
        <sz val="9"/>
        <color rgb="FF000000"/>
        <rFont val="맑은 고딕"/>
        <family val="0"/>
        <charset val="1"/>
      </rPr>
      <t xml:space="preserve">12 + TR 4</t>
    </r>
  </si>
  <si>
    <r>
      <rPr>
        <sz val="9"/>
        <color rgb="FF000000"/>
        <rFont val="맑은 고딕"/>
        <family val="0"/>
        <charset val="1"/>
      </rPr>
      <t xml:space="preserve">RFQ</t>
    </r>
    <r>
      <rPr>
        <sz val="9"/>
        <color rgb="FF000000"/>
        <rFont val="WenQuanYi Zen Hei"/>
        <family val="2"/>
      </rPr>
      <t xml:space="preserve">상 문제없음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단 </t>
    </r>
    <r>
      <rPr>
        <sz val="9"/>
        <color rgb="FF000000"/>
        <rFont val="맑은 고딕"/>
        <family val="0"/>
        <charset val="1"/>
      </rPr>
      <t xml:space="preserve">TSU·ANU AC</t>
    </r>
    <r>
      <rPr>
        <sz val="9"/>
        <color rgb="FF000000"/>
        <rFont val="WenQuanYi Zen Hei"/>
        <family val="2"/>
      </rPr>
      <t xml:space="preserve">안은 릴레이가 필수 점수와 딱 같아서 여유분은 </t>
    </r>
    <r>
      <rPr>
        <sz val="9"/>
        <color rgb="FF000000"/>
        <rFont val="맑은 고딕"/>
        <family val="0"/>
        <charset val="1"/>
      </rPr>
      <t xml:space="preserve">TR — Techross</t>
    </r>
    <r>
      <rPr>
        <sz val="9"/>
        <color rgb="FF000000"/>
        <rFont val="WenQuanYi Zen Hei"/>
        <family val="2"/>
      </rPr>
      <t xml:space="preserve">에 알려줄 것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</si>
  <si>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PLC </t>
    </r>
    <r>
      <rPr>
        <b val="true"/>
        <sz val="10"/>
        <color rgb="FF000000"/>
        <rFont val="WenQuanYi Zen Hei"/>
        <family val="2"/>
      </rPr>
      <t xml:space="preserve">언어</t>
    </r>
  </si>
  <si>
    <r>
      <rPr>
        <sz val="9"/>
        <color rgb="FF000000"/>
        <rFont val="맑은 고딕"/>
        <family val="0"/>
        <charset val="1"/>
      </rPr>
      <t xml:space="preserve">ST </t>
    </r>
    <r>
      <rPr>
        <sz val="9"/>
        <color rgb="FF000000"/>
        <rFont val="WenQuanYi Zen Hei"/>
        <family val="2"/>
      </rPr>
      <t xml:space="preserve">사용 가능해야 함</t>
    </r>
  </si>
  <si>
    <r>
      <rPr>
        <sz val="9"/>
        <color rgb="FF000000"/>
        <rFont val="맑은 고딕"/>
        <family val="0"/>
        <charset val="1"/>
      </rPr>
      <t xml:space="preserve">EcoStruxure Machine Expert (IEC 61131-3 → ST </t>
    </r>
    <r>
      <rPr>
        <sz val="9"/>
        <color rgb="FF000000"/>
        <rFont val="WenQuanYi Zen Hei"/>
        <family val="2"/>
      </rPr>
      <t xml:space="preserve">지원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</si>
  <si>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b val="true"/>
        <sz val="9"/>
        <color rgb="FF7F6000"/>
        <rFont val="WenQuanYi Zen Hei"/>
        <family val="2"/>
      </rPr>
      <t xml:space="preserve">제품은 지원하지만 제안서에 </t>
    </r>
    <r>
      <rPr>
        <b val="true"/>
        <sz val="9"/>
        <color rgb="FF7F6000"/>
        <rFont val="맑은 고딕"/>
        <family val="0"/>
        <charset val="1"/>
      </rPr>
      <t xml:space="preserve">'ST </t>
    </r>
    <r>
      <rPr>
        <b val="true"/>
        <sz val="9"/>
        <color rgb="FF7F6000"/>
        <rFont val="WenQuanYi Zen Hei"/>
        <family val="2"/>
      </rPr>
      <t xml:space="preserve">지원</t>
    </r>
    <r>
      <rPr>
        <b val="true"/>
        <sz val="9"/>
        <color rgb="FF7F6000"/>
        <rFont val="맑은 고딕"/>
        <family val="0"/>
        <charset val="1"/>
      </rPr>
      <t xml:space="preserve">' </t>
    </r>
    <r>
      <rPr>
        <b val="true"/>
        <sz val="9"/>
        <color rgb="FF7F6000"/>
        <rFont val="WenQuanYi Zen Hei"/>
        <family val="2"/>
      </rPr>
      <t xml:space="preserve">문구가 없음 → 한 줄 추가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</si>
  <si>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t xml:space="preserve">제안 가격</t>
  </si>
  <si>
    <r>
      <rPr>
        <sz val="9"/>
        <color rgb="FF000000"/>
        <rFont val="맑은 고딕"/>
        <family val="0"/>
        <charset val="1"/>
      </rPr>
      <t xml:space="preserve">2027</t>
    </r>
    <r>
      <rPr>
        <sz val="9"/>
        <color rgb="FF000000"/>
        <rFont val="WenQuanYi Zen Hei"/>
        <family val="2"/>
      </rPr>
      <t xml:space="preserve">년 가격 기준 </t>
    </r>
    <r>
      <rPr>
        <sz val="9"/>
        <color rgb="FF000000"/>
        <rFont val="맑은 고딕"/>
        <family val="0"/>
        <charset val="1"/>
      </rPr>
      <t xml:space="preserve">+ Benefit </t>
    </r>
    <r>
      <rPr>
        <sz val="9"/>
        <color rgb="FF000000"/>
        <rFont val="WenQuanYi Zen Hei"/>
        <family val="2"/>
      </rPr>
      <t xml:space="preserve">기재</t>
    </r>
  </si>
  <si>
    <r>
      <rPr>
        <sz val="9"/>
        <color rgb="FF000000"/>
        <rFont val="맑은 고딕"/>
        <family val="0"/>
        <charset val="1"/>
      </rPr>
      <t xml:space="preserve">Table1 '</t>
    </r>
    <r>
      <rPr>
        <sz val="9"/>
        <color rgb="FF000000"/>
        <rFont val="WenQuanYi Zen Hei"/>
        <family val="2"/>
      </rPr>
      <t xml:space="preserve">제안 가격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칸 공란</t>
    </r>
  </si>
  <si>
    <r>
      <rPr>
        <b val="true"/>
        <sz val="9"/>
        <color rgb="FFC00000"/>
        <rFont val="WenQuanYi Zen Hei"/>
        <family val="2"/>
      </rPr>
      <t xml:space="preserve">프로젝트</t>
    </r>
    <r>
      <rPr>
        <b val="true"/>
        <sz val="9"/>
        <color rgb="FFC00000"/>
        <rFont val="맑은 고딕"/>
        <family val="0"/>
        <charset val="1"/>
      </rPr>
      <t xml:space="preserve">·</t>
    </r>
    <r>
      <rPr>
        <b val="true"/>
        <sz val="9"/>
        <color rgb="FFC00000"/>
        <rFont val="WenQuanYi Zen Hei"/>
        <family val="2"/>
      </rPr>
      <t xml:space="preserve">전원별 가격을 </t>
    </r>
    <r>
      <rPr>
        <b val="true"/>
        <sz val="9"/>
        <color rgb="FFC00000"/>
        <rFont val="맑은 고딕"/>
        <family val="0"/>
        <charset val="1"/>
      </rPr>
      <t xml:space="preserve">2027</t>
    </r>
    <r>
      <rPr>
        <b val="true"/>
        <sz val="9"/>
        <color rgb="FFC00000"/>
        <rFont val="WenQuanYi Zen Hei"/>
        <family val="2"/>
      </rPr>
      <t xml:space="preserve">년 기준으로 기입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</si>
  <si>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t xml:space="preserve">Reference</t>
  </si>
  <si>
    <r>
      <rPr>
        <sz val="9"/>
        <color rgb="FF000000"/>
        <rFont val="WenQuanYi Zen Hei"/>
        <family val="2"/>
      </rPr>
      <t xml:space="preserve">제안 </t>
    </r>
    <r>
      <rPr>
        <sz val="9"/>
        <color rgb="FF000000"/>
        <rFont val="맑은 고딕"/>
        <family val="0"/>
        <charset val="1"/>
      </rPr>
      <t xml:space="preserve">CPU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조선 관련 권장</t>
    </r>
  </si>
  <si>
    <r>
      <rPr>
        <sz val="9"/>
        <color rgb="FF000000"/>
        <rFont val="WenQuanYi Zen Hei"/>
        <family val="2"/>
      </rPr>
      <t xml:space="preserve">분야명만 기재 </t>
    </r>
    <r>
      <rPr>
        <sz val="9"/>
        <color rgb="FF000000"/>
        <rFont val="맑은 고딕"/>
        <family val="0"/>
        <charset val="1"/>
      </rPr>
      <t xml:space="preserve">(Marine Energy Saving System, Marine Crane, Marine Scrubber)</t>
    </r>
  </si>
  <si>
    <r>
      <rPr>
        <b val="true"/>
        <sz val="9"/>
        <color rgb="FF7F6000"/>
        <rFont val="맑은 고딕"/>
        <family val="0"/>
        <charset val="1"/>
      </rPr>
      <t xml:space="preserve">M241 </t>
    </r>
    <r>
      <rPr>
        <b val="true"/>
        <sz val="9"/>
        <color rgb="FF7F6000"/>
        <rFont val="WenQuanYi Zen Hei"/>
        <family val="2"/>
      </rPr>
      <t xml:space="preserve">적용 고객사 </t>
    </r>
    <r>
      <rPr>
        <b val="true"/>
        <sz val="9"/>
        <color rgb="FF7F6000"/>
        <rFont val="맑은 고딕"/>
        <family val="0"/>
        <charset val="1"/>
      </rPr>
      <t xml:space="preserve">/ </t>
    </r>
    <r>
      <rPr>
        <b val="true"/>
        <sz val="9"/>
        <color rgb="FF7F6000"/>
        <rFont val="WenQuanYi Zen Hei"/>
        <family val="2"/>
      </rPr>
      <t xml:space="preserve">선박 </t>
    </r>
    <r>
      <rPr>
        <b val="true"/>
        <sz val="9"/>
        <color rgb="FF7F6000"/>
        <rFont val="맑은 고딕"/>
        <family val="0"/>
        <charset val="1"/>
      </rPr>
      <t xml:space="preserve">/ </t>
    </r>
    <r>
      <rPr>
        <b val="true"/>
        <sz val="9"/>
        <color rgb="FF7F6000"/>
        <rFont val="WenQuanYi Zen Hei"/>
        <family val="2"/>
      </rPr>
      <t xml:space="preserve">프로젝트명 등 구체적인 실적으로 보완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</si>
  <si>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t xml:space="preserve">선급 인증</t>
  </si>
  <si>
    <r>
      <rPr>
        <sz val="9"/>
        <color rgb="FF000000"/>
        <rFont val="맑은 고딕"/>
        <family val="0"/>
        <charset val="1"/>
      </rPr>
      <t xml:space="preserve">(RFQ Table1 </t>
    </r>
    <r>
      <rPr>
        <sz val="9"/>
        <color rgb="FF000000"/>
        <rFont val="WenQuanYi Zen Hei"/>
        <family val="2"/>
      </rPr>
      <t xml:space="preserve">항목</t>
    </r>
    <r>
      <rPr>
        <sz val="9"/>
        <color rgb="FF000000"/>
        <rFont val="맑은 고딕"/>
        <family val="0"/>
        <charset val="1"/>
      </rPr>
      <t xml:space="preserve">)</t>
    </r>
  </si>
  <si>
    <t xml:space="preserve">LR, ABS, DNV-GL, KR</t>
  </si>
  <si>
    <r>
      <rPr>
        <sz val="9"/>
        <color rgb="FF000000"/>
        <rFont val="WenQuanYi Zen Hei"/>
        <family val="2"/>
      </rPr>
      <t xml:space="preserve">적합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인증서 사본 첨부 권장 </t>
    </r>
    <r>
      <rPr>
        <sz val="9"/>
        <color rgb="FF000000"/>
        <rFont val="맑은 고딕"/>
        <family val="0"/>
        <charset val="1"/>
      </rPr>
      <t xml:space="preserve">(DNV-GL</t>
    </r>
    <r>
      <rPr>
        <sz val="9"/>
        <color rgb="FF000000"/>
        <rFont val="WenQuanYi Zen Hei"/>
        <family val="2"/>
      </rPr>
      <t xml:space="preserve">은 현재 </t>
    </r>
    <r>
      <rPr>
        <sz val="9"/>
        <color rgb="FF000000"/>
        <rFont val="맑은 고딕"/>
        <family val="0"/>
        <charset val="1"/>
      </rPr>
      <t xml:space="preserve">'DNV'</t>
    </r>
    <r>
      <rPr>
        <sz val="9"/>
        <color rgb="FF000000"/>
        <rFont val="WenQuanYi Zen Hei"/>
        <family val="2"/>
      </rPr>
      <t xml:space="preserve">로 명칭 변경됨</t>
    </r>
    <r>
      <rPr>
        <sz val="9"/>
        <color rgb="FF000000"/>
        <rFont val="맑은 고딕"/>
        <family val="0"/>
        <charset val="1"/>
      </rPr>
      <t xml:space="preserve">).</t>
    </r>
  </si>
  <si>
    <t xml:space="preserve">서류</t>
  </si>
  <si>
    <r>
      <rPr>
        <b val="true"/>
        <sz val="10"/>
        <color rgb="FF000000"/>
        <rFont val="WenQuanYi Zen Hei"/>
        <family val="2"/>
      </rPr>
      <t xml:space="preserve">구성도 </t>
    </r>
    <r>
      <rPr>
        <b val="true"/>
        <sz val="10"/>
        <color rgb="FF000000"/>
        <rFont val="맑은 고딕"/>
        <family val="0"/>
        <charset val="1"/>
      </rPr>
      <t xml:space="preserve">4</t>
    </r>
    <r>
      <rPr>
        <b val="true"/>
        <sz val="10"/>
        <color rgb="FF000000"/>
        <rFont val="WenQuanYi Zen Hei"/>
        <family val="2"/>
      </rPr>
      <t xml:space="preserve">부</t>
    </r>
  </si>
  <si>
    <r>
      <rPr>
        <sz val="9"/>
        <color rgb="FF000000"/>
        <rFont val="WenQuanYi Zen Hei"/>
        <family val="2"/>
      </rPr>
      <t xml:space="preserve">프로젝트별 </t>
    </r>
    <r>
      <rPr>
        <sz val="9"/>
        <color rgb="FF000000"/>
        <rFont val="맑은 고딕"/>
        <family val="0"/>
        <charset val="1"/>
      </rPr>
      <t xml:space="preserve">PLC </t>
    </r>
    <r>
      <rPr>
        <sz val="9"/>
        <color rgb="FF000000"/>
        <rFont val="WenQuanYi Zen Hei"/>
        <family val="2"/>
      </rPr>
      <t xml:space="preserve">구성도 각 </t>
    </r>
    <r>
      <rPr>
        <sz val="9"/>
        <color rgb="FF000000"/>
        <rFont val="맑은 고딕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부</t>
    </r>
  </si>
  <si>
    <r>
      <rPr>
        <sz val="9"/>
        <color rgb="FF000000"/>
        <rFont val="WenQuanYi Zen Hei"/>
        <family val="2"/>
      </rPr>
      <t xml:space="preserve">슬라이드 </t>
    </r>
    <r>
      <rPr>
        <sz val="9"/>
        <color rgb="FF000000"/>
        <rFont val="맑은 고딕"/>
        <family val="0"/>
        <charset val="1"/>
      </rPr>
      <t xml:space="preserve">3~6 (</t>
    </r>
    <r>
      <rPr>
        <sz val="9"/>
        <color rgb="FF000000"/>
        <rFont val="WenQuanYi Zen Hei"/>
        <family val="2"/>
      </rPr>
      <t xml:space="preserve">사진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WenQuanYi Zen Hei"/>
        <family val="2"/>
      </rPr>
      <t xml:space="preserve">표</t>
    </r>
    <r>
      <rPr>
        <sz val="9"/>
        <color rgb="FF000000"/>
        <rFont val="맑은 고딕"/>
        <family val="0"/>
        <charset val="1"/>
      </rPr>
      <t xml:space="preserve">)</t>
    </r>
  </si>
  <si>
    <r>
      <rPr>
        <b val="true"/>
        <sz val="9"/>
        <color rgb="FF7F6000"/>
        <rFont val="맑은 고딕"/>
        <family val="0"/>
        <charset val="1"/>
      </rPr>
      <t xml:space="preserve">ANU-S </t>
    </r>
    <r>
      <rPr>
        <b val="true"/>
        <sz val="9"/>
        <color rgb="FF7F6000"/>
        <rFont val="WenQuanYi Zen Hei"/>
        <family val="2"/>
      </rPr>
      <t xml:space="preserve">슬라이드 필수사항이 </t>
    </r>
    <r>
      <rPr>
        <b val="true"/>
        <sz val="9"/>
        <color rgb="FF7F6000"/>
        <rFont val="맑은 고딕"/>
        <family val="0"/>
        <charset val="1"/>
      </rPr>
      <t xml:space="preserve">DI 6 / DO 12</t>
    </r>
    <r>
      <rPr>
        <b val="true"/>
        <sz val="9"/>
        <color rgb="FF7F6000"/>
        <rFont val="WenQuanYi Zen Hei"/>
        <family val="2"/>
      </rPr>
      <t xml:space="preserve">로 잘못 적힘 </t>
    </r>
    <r>
      <rPr>
        <b val="true"/>
        <sz val="9"/>
        <color rgb="FF7F6000"/>
        <rFont val="맑은 고딕"/>
        <family val="0"/>
        <charset val="1"/>
      </rPr>
      <t xml:space="preserve">(RFQ: DI 3 / DO 5). MCC </t>
    </r>
    <r>
      <rPr>
        <b val="true"/>
        <sz val="9"/>
        <color rgb="FF7F6000"/>
        <rFont val="WenQuanYi Zen Hei"/>
        <family val="2"/>
      </rPr>
      <t xml:space="preserve">슬라이드는 </t>
    </r>
    <r>
      <rPr>
        <b val="true"/>
        <sz val="9"/>
        <color rgb="FF7F6000"/>
        <rFont val="맑은 고딕"/>
        <family val="0"/>
        <charset val="1"/>
      </rPr>
      <t xml:space="preserve">'TM3DI18' </t>
    </r>
    <r>
      <rPr>
        <b val="true"/>
        <sz val="9"/>
        <color rgb="FF7F6000"/>
        <rFont val="WenQuanYi Zen Hei"/>
        <family val="2"/>
      </rPr>
      <t xml:space="preserve">오기</t>
    </r>
    <r>
      <rPr>
        <b val="true"/>
        <sz val="9"/>
        <color rgb="FF7F6000"/>
        <rFont val="맑은 고딕"/>
        <family val="0"/>
        <charset val="1"/>
      </rPr>
      <t xml:space="preserve">(→ TM3DI8), </t>
    </r>
    <r>
      <rPr>
        <b val="true"/>
        <sz val="9"/>
        <color rgb="FF7F6000"/>
        <rFont val="WenQuanYi Zen Hei"/>
        <family val="2"/>
      </rPr>
      <t xml:space="preserve">필수사항 표 없음</t>
    </r>
    <r>
      <rPr>
        <b val="true"/>
        <sz val="9"/>
        <color rgb="FF7F6000"/>
        <rFont val="맑은 고딕"/>
        <family val="0"/>
        <charset val="1"/>
      </rPr>
      <t xml:space="preserve">, </t>
    </r>
    <r>
      <rPr>
        <b val="true"/>
        <sz val="9"/>
        <color rgb="FF7F6000"/>
        <rFont val="WenQuanYi Zen Hei"/>
        <family val="2"/>
      </rPr>
      <t xml:space="preserve">사진이 릴레이 </t>
    </r>
    <r>
      <rPr>
        <b val="true"/>
        <sz val="9"/>
        <color rgb="FF7F6000"/>
        <rFont val="맑은 고딕"/>
        <family val="0"/>
        <charset val="1"/>
      </rPr>
      <t xml:space="preserve">CPU</t>
    </r>
    <r>
      <rPr>
        <b val="true"/>
        <sz val="9"/>
        <color rgb="FF7F6000"/>
        <rFont val="WenQuanYi Zen Hei"/>
        <family val="2"/>
      </rPr>
      <t xml:space="preserve">라 표 내용과 다름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</si>
  <si>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맑은 고딕"/>
        <family val="0"/>
        <charset val="1"/>
      </rPr>
      <t xml:space="preserve">PLC </t>
    </r>
    <r>
      <rPr>
        <b val="true"/>
        <sz val="10"/>
        <color rgb="FF000000"/>
        <rFont val="WenQuanYi Zen Hei"/>
        <family val="2"/>
      </rPr>
      <t xml:space="preserve">세부 내용 표</t>
    </r>
  </si>
  <si>
    <r>
      <rPr>
        <sz val="9"/>
        <color rgb="FF000000"/>
        <rFont val="맑은 고딕"/>
        <family val="0"/>
        <charset val="1"/>
      </rPr>
      <t xml:space="preserve">Table1 </t>
    </r>
    <r>
      <rPr>
        <sz val="9"/>
        <color rgb="FF000000"/>
        <rFont val="WenQuanYi Zen Hei"/>
        <family val="2"/>
      </rPr>
      <t xml:space="preserve">작성</t>
    </r>
  </si>
  <si>
    <t xml:space="preserve">작성했으나 오류 있음</t>
  </si>
  <si>
    <r>
      <rPr>
        <b val="true"/>
        <sz val="9"/>
        <color rgb="FF7F6000"/>
        <rFont val="WenQuanYi Zen Hei"/>
        <family val="2"/>
      </rPr>
      <t xml:space="preserve">치수</t>
    </r>
    <r>
      <rPr>
        <b val="true"/>
        <sz val="9"/>
        <color rgb="FF7F6000"/>
        <rFont val="맑은 고딕"/>
        <family val="0"/>
        <charset val="1"/>
      </rPr>
      <t xml:space="preserve">: ANU-S AC</t>
    </r>
    <r>
      <rPr>
        <b val="true"/>
        <sz val="9"/>
        <color rgb="FF7F6000"/>
        <rFont val="WenQuanYi Zen Hei"/>
        <family val="2"/>
      </rPr>
      <t xml:space="preserve">가 </t>
    </r>
    <r>
      <rPr>
        <b val="true"/>
        <sz val="9"/>
        <color rgb="FF7F6000"/>
        <rFont val="맑은 고딕"/>
        <family val="0"/>
        <charset val="1"/>
      </rPr>
      <t xml:space="preserve">190mm(C24R</t>
    </r>
    <r>
      <rPr>
        <b val="true"/>
        <sz val="9"/>
        <color rgb="FF7F6000"/>
        <rFont val="WenQuanYi Zen Hei"/>
        <family val="2"/>
      </rPr>
      <t xml:space="preserve">은 </t>
    </r>
    <r>
      <rPr>
        <b val="true"/>
        <sz val="9"/>
        <color rgb="FF7F6000"/>
        <rFont val="맑은 고딕"/>
        <family val="0"/>
        <charset val="1"/>
      </rPr>
      <t xml:space="preserve">150mm), ANU-S DC</t>
    </r>
    <r>
      <rPr>
        <b val="true"/>
        <sz val="9"/>
        <color rgb="FF7F6000"/>
        <rFont val="WenQuanYi Zen Hei"/>
        <family val="2"/>
      </rPr>
      <t xml:space="preserve">는 모듈 </t>
    </r>
    <r>
      <rPr>
        <b val="true"/>
        <sz val="9"/>
        <color rgb="FF7F6000"/>
        <rFont val="맑은 고딕"/>
        <family val="0"/>
        <charset val="1"/>
      </rPr>
      <t xml:space="preserve">1</t>
    </r>
    <r>
      <rPr>
        <b val="true"/>
        <sz val="9"/>
        <color rgb="FF7F6000"/>
        <rFont val="WenQuanYi Zen Hei"/>
        <family val="2"/>
      </rPr>
      <t xml:space="preserve">개인데 </t>
    </r>
    <r>
      <rPr>
        <b val="true"/>
        <sz val="9"/>
        <color rgb="FF7F6000"/>
        <rFont val="맑은 고딕"/>
        <family val="0"/>
        <charset val="1"/>
      </rPr>
      <t xml:space="preserve">2</t>
    </r>
    <r>
      <rPr>
        <b val="true"/>
        <sz val="9"/>
        <color rgb="FF7F6000"/>
        <rFont val="WenQuanYi Zen Hei"/>
        <family val="2"/>
      </rPr>
      <t xml:space="preserve">줄</t>
    </r>
    <r>
      <rPr>
        <b val="true"/>
        <sz val="9"/>
        <color rgb="FF7F6000"/>
        <rFont val="맑은 고딕"/>
        <family val="0"/>
        <charset val="1"/>
      </rPr>
      <t xml:space="preserve">, MCC</t>
    </r>
    <r>
      <rPr>
        <b val="true"/>
        <sz val="9"/>
        <color rgb="FF7F6000"/>
        <rFont val="WenQuanYi Zen Hei"/>
        <family val="2"/>
      </rPr>
      <t xml:space="preserve">는 모듈 </t>
    </r>
    <r>
      <rPr>
        <b val="true"/>
        <sz val="9"/>
        <color rgb="FF7F6000"/>
        <rFont val="맑은 고딕"/>
        <family val="0"/>
        <charset val="1"/>
      </rPr>
      <t xml:space="preserve">6</t>
    </r>
    <r>
      <rPr>
        <b val="true"/>
        <sz val="9"/>
        <color rgb="FF7F6000"/>
        <rFont val="WenQuanYi Zen Hei"/>
        <family val="2"/>
      </rPr>
      <t xml:space="preserve">개인데 </t>
    </r>
    <r>
      <rPr>
        <b val="true"/>
        <sz val="9"/>
        <color rgb="FF7F6000"/>
        <rFont val="맑은 고딕"/>
        <family val="0"/>
        <charset val="1"/>
      </rPr>
      <t xml:space="preserve">5</t>
    </r>
    <r>
      <rPr>
        <b val="true"/>
        <sz val="9"/>
        <color rgb="FF7F6000"/>
        <rFont val="WenQuanYi Zen Hei"/>
        <family val="2"/>
      </rPr>
      <t xml:space="preserve">줄</t>
    </r>
    <r>
      <rPr>
        <b val="true"/>
        <sz val="9"/>
        <color rgb="FF7F6000"/>
        <rFont val="맑은 고딕"/>
        <family val="0"/>
        <charset val="1"/>
      </rPr>
      <t xml:space="preserve">. Benefit</t>
    </r>
    <r>
      <rPr>
        <b val="true"/>
        <sz val="9"/>
        <color rgb="FF7F6000"/>
        <rFont val="WenQuanYi Zen Hei"/>
        <family val="2"/>
      </rPr>
      <t xml:space="preserve">에 </t>
    </r>
    <r>
      <rPr>
        <b val="true"/>
        <sz val="9"/>
        <color rgb="FF7F6000"/>
        <rFont val="맑은 고딕"/>
        <family val="0"/>
        <charset val="1"/>
      </rPr>
      <t xml:space="preserve">RFQ</t>
    </r>
    <r>
      <rPr>
        <b val="true"/>
        <sz val="9"/>
        <color rgb="FF7F6000"/>
        <rFont val="WenQuanYi Zen Hei"/>
        <family val="2"/>
      </rPr>
      <t xml:space="preserve">에 없는 </t>
    </r>
    <r>
      <rPr>
        <b val="true"/>
        <sz val="9"/>
        <color rgb="FF7F6000"/>
        <rFont val="맑은 고딕"/>
        <family val="0"/>
        <charset val="1"/>
      </rPr>
      <t xml:space="preserve">'PDE' </t>
    </r>
    <r>
      <rPr>
        <b val="true"/>
        <sz val="9"/>
        <color rgb="FF7F6000"/>
        <rFont val="WenQuanYi Zen Hei"/>
        <family val="2"/>
      </rPr>
      <t xml:space="preserve">기재</t>
    </r>
    <r>
      <rPr>
        <b val="true"/>
        <sz val="9"/>
        <color rgb="FF7F6000"/>
        <rFont val="맑은 고딕"/>
        <family val="0"/>
        <charset val="1"/>
      </rPr>
      <t xml:space="preserve">, MCC </t>
    </r>
    <r>
      <rPr>
        <b val="true"/>
        <sz val="9"/>
        <color rgb="FF7F6000"/>
        <rFont val="WenQuanYi Zen Hei"/>
        <family val="2"/>
      </rPr>
      <t xml:space="preserve">빠짐</t>
    </r>
    <r>
      <rPr>
        <b val="true"/>
        <sz val="9"/>
        <color rgb="FF7F6000"/>
        <rFont val="맑은 고딕"/>
        <family val="0"/>
        <charset val="1"/>
      </rPr>
      <t xml:space="preserve">. </t>
    </r>
    <r>
      <rPr>
        <b val="true"/>
        <sz val="9"/>
        <color rgb="FF7F6000"/>
        <rFont val="WenQuanYi Zen Hei"/>
        <family val="2"/>
      </rPr>
      <t xml:space="preserve">표가 길어서 </t>
    </r>
    <r>
      <rPr>
        <b val="true"/>
        <sz val="9"/>
        <color rgb="FF7F6000"/>
        <rFont val="맑은 고딕"/>
        <family val="0"/>
        <charset val="1"/>
      </rPr>
      <t xml:space="preserve">'</t>
    </r>
    <r>
      <rPr>
        <b val="true"/>
        <sz val="9"/>
        <color rgb="FF7F6000"/>
        <rFont val="WenQuanYi Zen Hei"/>
        <family val="2"/>
      </rPr>
      <t xml:space="preserve">제안 가격</t>
    </r>
    <r>
      <rPr>
        <b val="true"/>
        <sz val="9"/>
        <color rgb="FF7F6000"/>
        <rFont val="맑은 고딕"/>
        <family val="0"/>
        <charset val="1"/>
      </rPr>
      <t xml:space="preserve">'·'Benefit' </t>
    </r>
    <r>
      <rPr>
        <b val="true"/>
        <sz val="9"/>
        <color rgb="FF7F6000"/>
        <rFont val="WenQuanYi Zen Hei"/>
        <family val="2"/>
      </rPr>
      <t xml:space="preserve">행이 슬라이드 밖으로 잘림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</si>
  <si>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외형도 </t>
    </r>
    <r>
      <rPr>
        <b val="true"/>
        <sz val="10"/>
        <color rgb="FF000000"/>
        <rFont val="맑은 고딕"/>
        <family val="0"/>
        <charset val="1"/>
      </rPr>
      <t xml:space="preserve">(CAD)</t>
    </r>
  </si>
  <si>
    <r>
      <rPr>
        <sz val="9"/>
        <color rgb="FF000000"/>
        <rFont val="WenQuanYi Zen Hei"/>
        <family val="2"/>
      </rPr>
      <t xml:space="preserve">프로젝트별 외형도 </t>
    </r>
    <r>
      <rPr>
        <sz val="9"/>
        <color rgb="FF000000"/>
        <rFont val="맑은 고딕"/>
        <family val="0"/>
        <charset val="1"/>
      </rPr>
      <t xml:space="preserve">CAD </t>
    </r>
    <r>
      <rPr>
        <sz val="9"/>
        <color rgb="FF000000"/>
        <rFont val="WenQuanYi Zen Hei"/>
        <family val="2"/>
      </rPr>
      <t xml:space="preserve">파일</t>
    </r>
  </si>
  <si>
    <t xml:space="preserve">제안서에 없음</t>
  </si>
  <si>
    <r>
      <rPr>
        <b val="true"/>
        <sz val="9"/>
        <color rgb="FFC00000"/>
        <rFont val="맑은 고딕"/>
        <family val="0"/>
        <charset val="1"/>
      </rPr>
      <t xml:space="preserve">CAD </t>
    </r>
    <r>
      <rPr>
        <b val="true"/>
        <sz val="9"/>
        <color rgb="FFC00000"/>
        <rFont val="WenQuanYi Zen Hei"/>
        <family val="2"/>
      </rPr>
      <t xml:space="preserve">파일 별도 제출 여부 확인</t>
    </r>
    <r>
      <rPr>
        <b val="true"/>
        <sz val="9"/>
        <color rgb="FFC00000"/>
        <rFont val="맑은 고딕"/>
        <family val="0"/>
        <charset val="1"/>
      </rPr>
      <t xml:space="preserve">, </t>
    </r>
    <r>
      <rPr>
        <b val="true"/>
        <sz val="9"/>
        <color rgb="FFC00000"/>
        <rFont val="WenQuanYi Zen Hei"/>
        <family val="2"/>
      </rPr>
      <t xml:space="preserve">없으면 요청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</si>
  <si>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t xml:space="preserve">CPU Spec</t>
  </si>
  <si>
    <r>
      <rPr>
        <sz val="9"/>
        <color rgb="FF000000"/>
        <rFont val="WenQuanYi Zen Hei"/>
        <family val="2"/>
      </rPr>
      <t xml:space="preserve">메모리</t>
    </r>
    <r>
      <rPr>
        <sz val="9"/>
        <color rgb="FF000000"/>
        <rFont val="맑은 고딕"/>
        <family val="0"/>
        <charset val="1"/>
      </rPr>
      <t xml:space="preserve">, CPU </t>
    </r>
    <r>
      <rPr>
        <sz val="9"/>
        <color rgb="FF000000"/>
        <rFont val="WenQuanYi Zen Hei"/>
        <family val="2"/>
      </rPr>
      <t xml:space="preserve">처리 속도 등</t>
    </r>
  </si>
  <si>
    <r>
      <rPr>
        <sz val="9"/>
        <color rgb="FF000000"/>
        <rFont val="WenQuanYi Zen Hei"/>
        <family val="2"/>
      </rPr>
      <t xml:space="preserve">메모리만 기재 </t>
    </r>
    <r>
      <rPr>
        <sz val="9"/>
        <color rgb="FF000000"/>
        <rFont val="맑은 고딕"/>
        <family val="0"/>
        <charset val="1"/>
      </rPr>
      <t xml:space="preserve">(64MB RAM / 128MB Flash)</t>
    </r>
  </si>
  <si>
    <r>
      <rPr>
        <b val="true"/>
        <sz val="9"/>
        <color rgb="FF7F6000"/>
        <rFont val="맑은 고딕"/>
        <family val="0"/>
        <charset val="1"/>
      </rPr>
      <t xml:space="preserve">CPU </t>
    </r>
    <r>
      <rPr>
        <b val="true"/>
        <sz val="9"/>
        <color rgb="FF7F6000"/>
        <rFont val="WenQuanYi Zen Hei"/>
        <family val="2"/>
      </rPr>
      <t xml:space="preserve">처리 속도</t>
    </r>
    <r>
      <rPr>
        <b val="true"/>
        <sz val="9"/>
        <color rgb="FF7F6000"/>
        <rFont val="맑은 고딕"/>
        <family val="0"/>
        <charset val="1"/>
      </rPr>
      <t xml:space="preserve">(</t>
    </r>
    <r>
      <rPr>
        <b val="true"/>
        <sz val="9"/>
        <color rgb="FF7F6000"/>
        <rFont val="WenQuanYi Zen Hei"/>
        <family val="2"/>
      </rPr>
      <t xml:space="preserve">명령 처리 시간</t>
    </r>
    <r>
      <rPr>
        <b val="true"/>
        <sz val="9"/>
        <color rgb="FF7F6000"/>
        <rFont val="맑은 고딕"/>
        <family val="0"/>
        <charset val="1"/>
      </rPr>
      <t xml:space="preserve">) </t>
    </r>
    <r>
      <rPr>
        <b val="true"/>
        <sz val="9"/>
        <color rgb="FF7F6000"/>
        <rFont val="WenQuanYi Zen Hei"/>
        <family val="2"/>
      </rPr>
      <t xml:space="preserve">등 사양서 추가</t>
    </r>
    <r>
      <rPr>
        <b val="true"/>
        <sz val="9"/>
        <color rgb="FF7F600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</si>
  <si>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MCC </t>
    </r>
    <r>
      <rPr>
        <b val="true"/>
        <sz val="12"/>
        <color rgb="FF1F3864"/>
        <rFont val="WenQuanYi Zen Hei"/>
        <family val="2"/>
      </rPr>
      <t xml:space="preserve">수정 구성 </t>
    </r>
    <r>
      <rPr>
        <b val="true"/>
        <sz val="12"/>
        <color rgb="FF1F3864"/>
        <rFont val="맑은 고딕"/>
        <family val="0"/>
        <charset val="1"/>
      </rPr>
      <t xml:space="preserve">(RFQ </t>
    </r>
    <r>
      <rPr>
        <b val="true"/>
        <sz val="12"/>
        <color rgb="FF1F3864"/>
        <rFont val="WenQuanYi Zen Hei"/>
        <family val="2"/>
      </rPr>
      <t xml:space="preserve">충족안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</si>
  <si>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모델</t>
  </si>
  <si>
    <t xml:space="preserve">설명</t>
  </si>
  <si>
    <t xml:space="preserve">제공 점수</t>
  </si>
  <si>
    <t xml:space="preserve">수량</t>
  </si>
  <si>
    <t xml:space="preserve">TM241CE24T</t>
  </si>
  <si>
    <r>
      <rPr>
        <sz val="9"/>
        <color rgb="FF000000"/>
        <rFont val="맑은 고딕"/>
        <family val="0"/>
        <charset val="1"/>
      </rPr>
      <t xml:space="preserve">CPU + </t>
    </r>
    <r>
      <rPr>
        <sz val="9"/>
        <color rgb="FF000000"/>
        <rFont val="WenQuanYi Zen Hei"/>
        <family val="2"/>
      </rPr>
      <t xml:space="preserve">이더넷 </t>
    </r>
    <r>
      <rPr>
        <sz val="9"/>
        <color rgb="FF000000"/>
        <rFont val="맑은 고딕"/>
        <family val="0"/>
        <charset val="1"/>
      </rPr>
      <t xml:space="preserve">(Serial 2CH + Ethernet)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</si>
  <si>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14 (CPU </t>
    </r>
    <r>
      <rPr>
        <sz val="9"/>
        <color rgb="FF000000"/>
        <rFont val="WenQuanYi Zen Hei"/>
        <family val="2"/>
      </rPr>
      <t xml:space="preserve">내장 </t>
    </r>
    <r>
      <rPr>
        <sz val="9"/>
        <color rgb="FF000000"/>
        <rFont val="맑은 고딕"/>
        <family val="0"/>
        <charset val="1"/>
      </rPr>
      <t xml:space="preserve">TR </t>
    </r>
    <r>
      <rPr>
        <sz val="9"/>
        <color rgb="FF000000"/>
        <rFont val="WenQuanYi Zen Hei"/>
        <family val="2"/>
      </rPr>
      <t xml:space="preserve">출력 </t>
    </r>
    <r>
      <rPr>
        <sz val="9"/>
        <color rgb="FF000000"/>
        <rFont val="맑은 고딕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은 미사용</t>
    </r>
    <r>
      <rPr>
        <sz val="9"/>
        <color rgb="FF000000"/>
        <rFont val="맑은 고딕"/>
        <family val="0"/>
        <charset val="1"/>
      </rPr>
      <t xml:space="preserve">)</t>
    </r>
  </si>
  <si>
    <t xml:space="preserve">TM3DI16</t>
  </si>
  <si>
    <r>
      <rPr>
        <sz val="9"/>
        <color rgb="FF000000"/>
        <rFont val="WenQuanYi Zen Hei"/>
        <family val="2"/>
      </rPr>
      <t xml:space="preserve">디지털 입력 </t>
    </r>
    <r>
      <rPr>
        <sz val="9"/>
        <color rgb="FF000000"/>
        <rFont val="맑은 고딕"/>
        <family val="0"/>
        <charset val="1"/>
      </rPr>
      <t xml:space="preserve">16</t>
    </r>
    <r>
      <rPr>
        <sz val="9"/>
        <color rgb="FF000000"/>
        <rFont val="WenQuanYi Zen Hei"/>
        <family val="2"/>
      </rPr>
      <t xml:space="preserve">점</t>
    </r>
  </si>
  <si>
    <r>
      <rPr>
        <sz val="9"/>
        <color rgb="FF000000"/>
        <rFont val="WenQuanYi Zen Hei"/>
        <family val="2"/>
      </rPr>
      <t xml:space="preserve">입력 </t>
    </r>
    <r>
      <rPr>
        <sz val="9"/>
        <color rgb="FF000000"/>
        <rFont val="맑은 고딕"/>
        <family val="0"/>
        <charset val="1"/>
      </rPr>
      <t xml:space="preserve">96  → </t>
    </r>
    <r>
      <rPr>
        <sz val="9"/>
        <color rgb="FF000000"/>
        <rFont val="WenQuanYi Zen Hei"/>
        <family val="2"/>
      </rPr>
      <t xml:space="preserve">입력 합계 </t>
    </r>
    <r>
      <rPr>
        <sz val="9"/>
        <color rgb="FF000000"/>
        <rFont val="맑은 고딕"/>
        <family val="0"/>
        <charset val="1"/>
      </rPr>
      <t xml:space="preserve">110 (</t>
    </r>
    <r>
      <rPr>
        <sz val="9"/>
        <color rgb="FF000000"/>
        <rFont val="WenQuanYi Zen Hei"/>
        <family val="2"/>
      </rPr>
      <t xml:space="preserve">요구 </t>
    </r>
    <r>
      <rPr>
        <sz val="9"/>
        <color rgb="FF000000"/>
        <rFont val="맑은 고딕"/>
        <family val="0"/>
        <charset val="1"/>
      </rPr>
      <t xml:space="preserve">102)</t>
    </r>
  </si>
  <si>
    <t xml:space="preserve">TM3DQ16R</t>
  </si>
  <si>
    <r>
      <rPr>
        <sz val="9"/>
        <color rgb="FF000000"/>
        <rFont val="WenQuanYi Zen Hei"/>
        <family val="2"/>
      </rPr>
      <t xml:space="preserve">릴레이 출력 </t>
    </r>
    <r>
      <rPr>
        <sz val="9"/>
        <color rgb="FF000000"/>
        <rFont val="맑은 고딕"/>
        <family val="0"/>
        <charset val="1"/>
      </rPr>
      <t xml:space="preserve">16</t>
    </r>
    <r>
      <rPr>
        <sz val="9"/>
        <color rgb="FF000000"/>
        <rFont val="WenQuanYi Zen Hei"/>
        <family val="2"/>
      </rPr>
      <t xml:space="preserve">점</t>
    </r>
  </si>
  <si>
    <r>
      <rPr>
        <sz val="9"/>
        <color rgb="FF000000"/>
        <rFont val="WenQuanYi Zen Hei"/>
        <family val="2"/>
      </rPr>
      <t xml:space="preserve">릴레이 출력 </t>
    </r>
    <r>
      <rPr>
        <sz val="9"/>
        <color rgb="FF000000"/>
        <rFont val="맑은 고딕"/>
        <family val="0"/>
        <charset val="1"/>
      </rPr>
      <t xml:space="preserve">64 (</t>
    </r>
    <r>
      <rPr>
        <sz val="9"/>
        <color rgb="FF000000"/>
        <rFont val="WenQuanYi Zen Hei"/>
        <family val="2"/>
      </rPr>
      <t xml:space="preserve">요구 </t>
    </r>
    <r>
      <rPr>
        <sz val="9"/>
        <color rgb="FF000000"/>
        <rFont val="맑은 고딕"/>
        <family val="0"/>
        <charset val="1"/>
      </rPr>
      <t xml:space="preserve">54)</t>
    </r>
  </si>
  <si>
    <t xml:space="preserve">TM3AQ4</t>
  </si>
  <si>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4CH</t>
    </r>
  </si>
  <si>
    <r>
      <rPr>
        <sz val="9"/>
        <color rgb="FF000000"/>
        <rFont val="WenQuanYi Zen Hei"/>
        <family val="2"/>
      </rPr>
      <t xml:space="preserve">아날로그 출력 </t>
    </r>
    <r>
      <rPr>
        <sz val="9"/>
        <color rgb="FF000000"/>
        <rFont val="맑은 고딕"/>
        <family val="0"/>
        <charset val="1"/>
      </rPr>
      <t xml:space="preserve">4CH (</t>
    </r>
    <r>
      <rPr>
        <sz val="9"/>
        <color rgb="FF000000"/>
        <rFont val="WenQuanYi Zen Hei"/>
        <family val="2"/>
      </rPr>
      <t xml:space="preserve">요구 </t>
    </r>
    <r>
      <rPr>
        <sz val="9"/>
        <color rgb="FF000000"/>
        <rFont val="맑은 고딕"/>
        <family val="0"/>
        <charset val="1"/>
      </rPr>
      <t xml:space="preserve">4)</t>
    </r>
  </si>
  <si>
    <t xml:space="preserve">TM3XTRA1 + TM3XREC1</t>
  </si>
  <si>
    <r>
      <rPr>
        <sz val="9"/>
        <color rgb="FF000000"/>
        <rFont val="맑은 고딕"/>
        <family val="0"/>
        <charset val="1"/>
      </rPr>
      <t xml:space="preserve">TM3 </t>
    </r>
    <r>
      <rPr>
        <sz val="9"/>
        <color rgb="FF000000"/>
        <rFont val="WenQuanYi Zen Hei"/>
        <family val="2"/>
      </rPr>
      <t xml:space="preserve">버스 확장 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모듈 </t>
    </r>
    <r>
      <rPr>
        <sz val="9"/>
        <color rgb="FF000000"/>
        <rFont val="맑은 고딕"/>
        <family val="0"/>
        <charset val="1"/>
      </rPr>
      <t xml:space="preserve">11</t>
    </r>
    <r>
      <rPr>
        <sz val="9"/>
        <color rgb="FF000000"/>
        <rFont val="WenQuanYi Zen Hei"/>
        <family val="2"/>
      </rPr>
      <t xml:space="preserve">개 → </t>
    </r>
    <r>
      <rPr>
        <sz val="9"/>
        <color rgb="FF000000"/>
        <rFont val="맑은 고딕"/>
        <family val="0"/>
        <charset val="1"/>
      </rPr>
      <t xml:space="preserve">7</t>
    </r>
    <r>
      <rPr>
        <sz val="9"/>
        <color rgb="FF000000"/>
        <rFont val="WenQuanYi Zen Hei"/>
        <family val="2"/>
      </rPr>
      <t xml:space="preserve">개 초과</t>
    </r>
    <r>
      <rPr>
        <sz val="9"/>
        <color rgb="FF000000"/>
        <rFont val="맑은 고딕"/>
        <family val="0"/>
        <charset val="1"/>
      </rPr>
      <t xml:space="preserve">)</t>
    </r>
  </si>
  <si>
    <t xml:space="preserve">가격표에 없음 — 견적 필요</t>
  </si>
  <si>
    <r>
      <rPr>
        <sz val="9"/>
        <color rgb="FF595959"/>
        <rFont val="WenQuanYi Zen Hei"/>
        <family val="2"/>
      </rPr>
      <t xml:space="preserve">※ 다른 방법</t>
    </r>
    <r>
      <rPr>
        <sz val="9"/>
        <color rgb="FF595959"/>
        <rFont val="맑은 고딕"/>
        <family val="0"/>
        <charset val="1"/>
      </rPr>
      <t xml:space="preserve">: CPU</t>
    </r>
    <r>
      <rPr>
        <sz val="9"/>
        <color rgb="FF595959"/>
        <rFont val="WenQuanYi Zen Hei"/>
        <family val="2"/>
      </rPr>
      <t xml:space="preserve">를 </t>
    </r>
    <r>
      <rPr>
        <sz val="9"/>
        <color rgb="FF595959"/>
        <rFont val="맑은 고딕"/>
        <family val="0"/>
        <charset val="1"/>
      </rPr>
      <t xml:space="preserve">TM241CE40T(</t>
    </r>
    <r>
      <rPr>
        <sz val="9"/>
        <color rgb="FF595959"/>
        <rFont val="WenQuanYi Zen Hei"/>
        <family val="2"/>
      </rPr>
      <t xml:space="preserve">입력 </t>
    </r>
    <r>
      <rPr>
        <sz val="9"/>
        <color rgb="FF595959"/>
        <rFont val="맑은 고딕"/>
        <family val="0"/>
        <charset val="1"/>
      </rPr>
      <t xml:space="preserve">24)</t>
    </r>
    <r>
      <rPr>
        <sz val="9"/>
        <color rgb="FF595959"/>
        <rFont val="WenQuanYi Zen Hei"/>
        <family val="2"/>
      </rPr>
      <t xml:space="preserve">로 하면 </t>
    </r>
    <r>
      <rPr>
        <sz val="9"/>
        <color rgb="FF595959"/>
        <rFont val="맑은 고딕"/>
        <family val="0"/>
        <charset val="1"/>
      </rPr>
      <t xml:space="preserve">TM3DI16</t>
    </r>
    <r>
      <rPr>
        <sz val="9"/>
        <color rgb="FF595959"/>
        <rFont val="WenQuanYi Zen Hei"/>
        <family val="2"/>
      </rPr>
      <t xml:space="preserve">을 </t>
    </r>
    <r>
      <rPr>
        <sz val="9"/>
        <color rgb="FF595959"/>
        <rFont val="맑은 고딕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개로 줄일 수 있음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모듈 </t>
    </r>
    <r>
      <rPr>
        <sz val="9"/>
        <color rgb="FF595959"/>
        <rFont val="맑은 고딕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개</t>
    </r>
    <r>
      <rPr>
        <sz val="9"/>
        <color rgb="FF595959"/>
        <rFont val="맑은 고딕"/>
        <family val="0"/>
        <charset val="1"/>
      </rPr>
      <t xml:space="preserve">). CE40T </t>
    </r>
    <r>
      <rPr>
        <sz val="9"/>
        <color rgb="FF595959"/>
        <rFont val="WenQuanYi Zen Hei"/>
        <family val="2"/>
      </rPr>
      <t xml:space="preserve">단가는 받은 단가표에 없음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</si>
  <si>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Techross</t>
    </r>
    <r>
      <rPr>
        <b val="true"/>
        <sz val="12"/>
        <color rgb="FF1F3864"/>
        <rFont val="WenQuanYi Zen Hei"/>
        <family val="2"/>
      </rPr>
      <t xml:space="preserve">에 확인할 것 </t>
    </r>
    <r>
      <rPr>
        <b val="true"/>
        <sz val="12"/>
        <color rgb="FF1F3864"/>
        <rFont val="맑은 고딕"/>
        <family val="0"/>
        <charset val="1"/>
      </rPr>
      <t xml:space="preserve">(RFQ </t>
    </r>
    <r>
      <rPr>
        <b val="true"/>
        <sz val="12"/>
        <color rgb="FF1F3864"/>
        <rFont val="WenQuanYi Zen Hei"/>
        <family val="2"/>
      </rPr>
      <t xml:space="preserve">자체의 모호한 부분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</si>
  <si>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① ANU: </t>
    </r>
    <r>
      <rPr>
        <sz val="10"/>
        <color rgb="FF000000"/>
        <rFont val="WenQuanYi Zen Hei"/>
        <family val="2"/>
      </rPr>
      <t xml:space="preserve">기존 하드웨어에는 </t>
    </r>
    <r>
      <rPr>
        <sz val="10"/>
        <color rgb="FF000000"/>
        <rFont val="맑은 고딕"/>
        <family val="0"/>
        <charset val="1"/>
      </rPr>
      <t xml:space="preserve">AO561(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2CH)</t>
    </r>
    <r>
      <rPr>
        <sz val="10"/>
        <color rgb="FF000000"/>
        <rFont val="WenQuanYi Zen Hei"/>
        <family val="2"/>
      </rPr>
      <t xml:space="preserve">이 있는데 </t>
    </r>
    <r>
      <rPr>
        <sz val="10"/>
        <color rgb="FF000000"/>
        <rFont val="맑은 고딕"/>
        <family val="0"/>
        <charset val="1"/>
      </rPr>
      <t xml:space="preserve">RFQ </t>
    </r>
    <r>
      <rPr>
        <sz val="10"/>
        <color rgb="FF000000"/>
        <rFont val="WenQuanYi Zen Hei"/>
        <family val="2"/>
      </rPr>
      <t xml:space="preserve">필수사항에는 </t>
    </r>
    <r>
      <rPr>
        <sz val="10"/>
        <color rgb="FF000000"/>
        <rFont val="맑은 고딕"/>
        <family val="0"/>
        <charset val="1"/>
      </rPr>
      <t xml:space="preserve">AO</t>
    </r>
    <r>
      <rPr>
        <sz val="10"/>
        <color rgb="FF000000"/>
        <rFont val="WenQuanYi Zen Hei"/>
        <family val="2"/>
      </rPr>
      <t xml:space="preserve">가 없음 → 실제 사용 여부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</si>
  <si>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② MCC: RFQ </t>
    </r>
    <r>
      <rPr>
        <sz val="10"/>
        <color rgb="FF000000"/>
        <rFont val="WenQuanYi Zen Hei"/>
        <family val="2"/>
      </rPr>
      <t xml:space="preserve">구성도에 세 번째 </t>
    </r>
    <r>
      <rPr>
        <sz val="10"/>
        <color rgb="FF000000"/>
        <rFont val="맑은 고딕"/>
        <family val="0"/>
        <charset val="1"/>
      </rPr>
      <t xml:space="preserve">DO573</t>
    </r>
    <r>
      <rPr>
        <sz val="10"/>
        <color rgb="FF000000"/>
        <rFont val="WenQuanYi Zen Hei"/>
        <family val="2"/>
      </rPr>
      <t xml:space="preserve">이 </t>
    </r>
    <r>
      <rPr>
        <sz val="10"/>
        <color rgb="FF000000"/>
        <rFont val="맑은 고딕"/>
        <family val="0"/>
        <charset val="1"/>
      </rPr>
      <t xml:space="preserve">'(AO16)'</t>
    </r>
    <r>
      <rPr>
        <sz val="10"/>
        <color rgb="FF000000"/>
        <rFont val="WenQuanYi Zen Hei"/>
        <family val="2"/>
      </rPr>
      <t xml:space="preserve">으로 적혀 있음 → </t>
    </r>
    <r>
      <rPr>
        <sz val="10"/>
        <color rgb="FF000000"/>
        <rFont val="맑은 고딕"/>
        <family val="0"/>
        <charset val="1"/>
      </rPr>
      <t xml:space="preserve">DO16 </t>
    </r>
    <r>
      <rPr>
        <sz val="10"/>
        <color rgb="FF000000"/>
        <rFont val="WenQuanYi Zen Hei"/>
        <family val="2"/>
      </rPr>
      <t xml:space="preserve">오기로 보고 출력 </t>
    </r>
    <r>
      <rPr>
        <sz val="10"/>
        <color rgb="FF000000"/>
        <rFont val="맑은 고딕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점으로 계산함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</si>
  <si>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③ MCC '</t>
    </r>
    <r>
      <rPr>
        <sz val="10"/>
        <color rgb="FF000000"/>
        <rFont val="WenQuanYi Zen Hei"/>
        <family val="2"/>
      </rPr>
      <t xml:space="preserve">현행 유지</t>
    </r>
    <r>
      <rPr>
        <sz val="10"/>
        <color rgb="FF000000"/>
        <rFont val="맑은 고딕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점수에 </t>
    </r>
    <r>
      <rPr>
        <sz val="10"/>
        <color rgb="FF000000"/>
        <rFont val="맑은 고딕"/>
        <family val="0"/>
        <charset val="1"/>
      </rPr>
      <t xml:space="preserve">+10% Spare</t>
    </r>
    <r>
      <rPr>
        <sz val="10"/>
        <color rgb="FF000000"/>
        <rFont val="WenQuanYi Zen Hei"/>
        <family val="2"/>
      </rPr>
      <t xml:space="preserve">를 추가로 얹어야 하는지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현재는 기존 점수 그대로로 계산</t>
    </r>
    <r>
      <rPr>
        <sz val="10"/>
        <color rgb="FF000000"/>
        <rFont val="맑은 고딕"/>
        <family val="0"/>
        <charset val="1"/>
      </rPr>
      <t xml:space="preserve">).</t>
    </r>
  </si>
  <si>
    <t xml:space="preserve">타겟 프라이스 → 우리 마진</t>
  </si>
  <si>
    <r>
      <rPr>
        <sz val="9"/>
        <color rgb="FF595959"/>
        <rFont val="WenQuanYi Zen Hei"/>
        <family val="2"/>
      </rPr>
      <t xml:space="preserve">노란 칸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타겟 프라이스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고객에게 파는 </t>
    </r>
    <r>
      <rPr>
        <sz val="9"/>
        <color rgb="FF595959"/>
        <rFont val="맑은 고딕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대 가격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에 금액을 넣으면 마진이 바로 계산됩니다</t>
    </r>
    <r>
      <rPr>
        <sz val="9"/>
        <color rgb="FF595959"/>
        <rFont val="맑은 고딕"/>
        <family val="0"/>
        <charset val="1"/>
      </rPr>
      <t xml:space="preserve">.  </t>
    </r>
    <r>
      <rPr>
        <sz val="9"/>
        <color rgb="FF595959"/>
        <rFont val="WenQuanYi Zen Hei"/>
        <family val="2"/>
      </rPr>
      <t xml:space="preserve">예</t>
    </r>
    <r>
      <rPr>
        <sz val="9"/>
        <color rgb="FF595959"/>
        <rFont val="맑은 고딕"/>
        <family val="0"/>
        <charset val="1"/>
      </rPr>
      <t xml:space="preserve">) TSU DC24V </t>
    </r>
    <r>
      <rPr>
        <sz val="9"/>
        <color rgb="FF595959"/>
        <rFont val="WenQuanYi Zen Hei"/>
        <family val="2"/>
      </rPr>
      <t xml:space="preserve">칸에 </t>
    </r>
    <r>
      <rPr>
        <sz val="9"/>
        <color rgb="FF595959"/>
        <rFont val="맑은 고딕"/>
        <family val="0"/>
        <charset val="1"/>
      </rPr>
      <t xml:space="preserve">450,000 </t>
    </r>
    <r>
      <rPr>
        <sz val="9"/>
        <color rgb="FF595959"/>
        <rFont val="WenQuanYi Zen Hei"/>
        <family val="2"/>
      </rPr>
      <t xml:space="preserve">입력</t>
    </r>
  </si>
  <si>
    <r>
      <rPr>
        <sz val="9"/>
        <color rgb="FF595959"/>
        <rFont val="WenQuanYi Zen Hei"/>
        <family val="2"/>
      </rPr>
      <t xml:space="preserve">마진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타겟 프라이스 − 매입가     마진율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마진 </t>
    </r>
    <r>
      <rPr>
        <sz val="9"/>
        <color rgb="FF595959"/>
        <rFont val="맑은 고딕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타겟 프라이스 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판매가 기준</t>
    </r>
    <r>
      <rPr>
        <sz val="9"/>
        <color rgb="FF595959"/>
        <rFont val="맑은 고딕"/>
        <family val="0"/>
        <charset val="1"/>
      </rPr>
      <t xml:space="preserve">)</t>
    </r>
  </si>
  <si>
    <t xml:space="preserve">전원</t>
  </si>
  <si>
    <r>
      <rPr>
        <b val="true"/>
        <sz val="10"/>
        <color rgb="FFFFFFFF"/>
        <rFont val="WenQuanYi Zen Hei"/>
        <family val="2"/>
      </rPr>
      <t xml:space="preserve">연간 수량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</si>
  <si>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매입가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</si>
  <si>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타겟 프라이스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</si>
  <si>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마진
</t>
    </r>
    <r>
      <rPr>
        <b val="true"/>
        <sz val="10"/>
        <color rgb="FFFFFFFF"/>
        <rFont val="맑은 고딕"/>
        <family val="0"/>
        <charset val="1"/>
      </rPr>
      <t xml:space="preserve">(1</t>
    </r>
    <r>
      <rPr>
        <b val="true"/>
        <sz val="10"/>
        <color rgb="FFFFFFFF"/>
        <rFont val="WenQuanYi Zen Hei"/>
        <family val="2"/>
      </rPr>
      <t xml:space="preserve">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</si>
  <si>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마진율</t>
  </si>
  <si>
    <t xml:space="preserve">연간 매출</t>
  </si>
  <si>
    <t xml:space="preserve">연간 마진</t>
  </si>
  <si>
    <t xml:space="preserve">DC24V</t>
  </si>
  <si>
    <t xml:space="preserve">← 마진이 마이너스면 빨간색</t>
  </si>
  <si>
    <t xml:space="preserve">AC220V</t>
  </si>
  <si>
    <r>
      <rPr>
        <b val="true"/>
        <sz val="12"/>
        <color rgb="FF1F3864"/>
        <rFont val="WenQuanYi Zen Hei"/>
        <family val="2"/>
      </rPr>
      <t xml:space="preserve">연간 합계 </t>
    </r>
    <r>
      <rPr>
        <b val="true"/>
        <sz val="12"/>
        <color rgb="FF1F3864"/>
        <rFont val="맑은 고딕"/>
        <family val="0"/>
        <charset val="1"/>
      </rPr>
      <t xml:space="preserve">(4</t>
    </r>
    <r>
      <rPr>
        <b val="true"/>
        <sz val="12"/>
        <color rgb="FF1F3864"/>
        <rFont val="WenQuanYi Zen Hei"/>
        <family val="2"/>
      </rPr>
      <t xml:space="preserve">개 프로젝트 전부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</si>
  <si>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납품 방식</t>
  </si>
  <si>
    <t xml:space="preserve">연간 매입</t>
  </si>
  <si>
    <r>
      <rPr>
        <b val="true"/>
        <sz val="10"/>
        <color rgb="FF000000"/>
        <rFont val="맑은 고딕"/>
        <family val="0"/>
        <charset val="1"/>
      </rPr>
      <t xml:space="preserve">DC24V</t>
    </r>
    <r>
      <rPr>
        <b val="true"/>
        <sz val="10"/>
        <color rgb="FF000000"/>
        <rFont val="WenQuanYi Zen Hei"/>
        <family val="2"/>
      </rPr>
      <t xml:space="preserve">로 납품</t>
    </r>
  </si>
  <si>
    <r>
      <rPr>
        <b val="true"/>
        <sz val="10"/>
        <color rgb="FF000000"/>
        <rFont val="맑은 고딕"/>
        <family val="0"/>
        <charset val="1"/>
      </rPr>
      <t xml:space="preserve">AC220V</t>
    </r>
    <r>
      <rPr>
        <b val="true"/>
        <sz val="10"/>
        <color rgb="FF000000"/>
        <rFont val="WenQuanYi Zen Hei"/>
        <family val="2"/>
      </rPr>
      <t xml:space="preserve">로 납품 </t>
    </r>
    <r>
      <rPr>
        <b val="true"/>
        <sz val="10"/>
        <color rgb="FF000000"/>
        <rFont val="맑은 고딕"/>
        <family val="0"/>
        <charset val="1"/>
      </rPr>
      <t xml:space="preserve">(MCC</t>
    </r>
    <r>
      <rPr>
        <b val="true"/>
        <sz val="10"/>
        <color rgb="FF000000"/>
        <rFont val="WenQuanYi Zen Hei"/>
        <family val="2"/>
      </rPr>
      <t xml:space="preserve">는 </t>
    </r>
    <r>
      <rPr>
        <b val="true"/>
        <sz val="10"/>
        <color rgb="FF000000"/>
        <rFont val="맑은 고딕"/>
        <family val="0"/>
        <charset val="1"/>
      </rPr>
      <t xml:space="preserve">DC24V)</t>
    </r>
  </si>
  <si>
    <r>
      <rPr>
        <sz val="9"/>
        <color rgb="FF7F7F7F"/>
        <rFont val="WenQuanYi Zen Hei"/>
        <family val="2"/>
      </rPr>
      <t xml:space="preserve">※ 연간 합계는 해당 납품 방식의 </t>
    </r>
    <r>
      <rPr>
        <sz val="9"/>
        <color rgb="FF7F7F7F"/>
        <rFont val="맑은 고딕"/>
        <family val="0"/>
        <charset val="1"/>
      </rPr>
      <t xml:space="preserve">4</t>
    </r>
    <r>
      <rPr>
        <sz val="9"/>
        <color rgb="FF7F7F7F"/>
        <rFont val="WenQuanYi Zen Hei"/>
        <family val="2"/>
      </rPr>
      <t xml:space="preserve">개 칸을 모두 입력해야 나옵니다</t>
    </r>
    <r>
      <rPr>
        <sz val="9"/>
        <color rgb="FF7F7F7F"/>
        <rFont val="맑은 고딕"/>
        <family val="0"/>
        <charset val="1"/>
      </rPr>
      <t xml:space="preserve">. </t>
    </r>
    <r>
      <rPr>
        <sz val="9"/>
        <color rgb="FF7F7F7F"/>
        <rFont val="WenQuanYi Zen Hei"/>
        <family val="2"/>
      </rPr>
      <t xml:space="preserve">프로젝트별 마진은 위 표에서 바로 확인하세요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</si>
  <si>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sz val="9"/>
        <color rgb="FF7F7F7F"/>
        <rFont val="WenQuanYi Zen Hei"/>
        <family val="2"/>
      </rPr>
      <t xml:space="preserve">※ 매입가는 현재 할인율</t>
    </r>
    <r>
      <rPr>
        <sz val="9"/>
        <color rgb="FF7F7F7F"/>
        <rFont val="맑은 고딕"/>
        <family val="0"/>
        <charset val="1"/>
      </rPr>
      <t xml:space="preserve">(CPU 0.45 / </t>
    </r>
    <r>
      <rPr>
        <sz val="9"/>
        <color rgb="FF7F7F7F"/>
        <rFont val="WenQuanYi Zen Hei"/>
        <family val="2"/>
      </rPr>
      <t xml:space="preserve">확장 모듈 </t>
    </r>
    <r>
      <rPr>
        <sz val="9"/>
        <color rgb="FF7F7F7F"/>
        <rFont val="맑은 고딕"/>
        <family val="0"/>
        <charset val="1"/>
      </rPr>
      <t xml:space="preserve">0.40) </t>
    </r>
    <r>
      <rPr>
        <sz val="9"/>
        <color rgb="FF7F7F7F"/>
        <rFont val="WenQuanYi Zen Hei"/>
        <family val="2"/>
      </rPr>
      <t xml:space="preserve">기준입니다</t>
    </r>
    <r>
      <rPr>
        <sz val="9"/>
        <color rgb="FF7F7F7F"/>
        <rFont val="맑은 고딕"/>
        <family val="0"/>
        <charset val="1"/>
      </rPr>
      <t xml:space="preserve">. MCC </t>
    </r>
    <r>
      <rPr>
        <sz val="9"/>
        <color rgb="FF7F7F7F"/>
        <rFont val="WenQuanYi Zen Hei"/>
        <family val="2"/>
      </rPr>
      <t xml:space="preserve">버스 확장 부품은 매입가에 포함되어 있지 않습니다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</si>
  <si>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프로젝트별 </t>
    </r>
    <r>
      <rPr>
        <b val="true"/>
        <sz val="14"/>
        <color rgb="FF1F3864"/>
        <rFont val="맑은 고딕"/>
        <family val="0"/>
        <charset val="1"/>
      </rPr>
      <t xml:space="preserve">PLC </t>
    </r>
    <r>
      <rPr>
        <b val="true"/>
        <sz val="14"/>
        <color rgb="FF1F3864"/>
        <rFont val="WenQuanYi Zen Hei"/>
        <family val="2"/>
      </rPr>
      <t xml:space="preserve">구성</t>
    </r>
  </si>
  <si>
    <r>
      <rPr>
        <sz val="9"/>
        <color rgb="FF595959"/>
        <rFont val="WenQuanYi Zen Hei"/>
        <family val="2"/>
      </rPr>
      <t xml:space="preserve">단가는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단가표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에서 자동으로 가져옵니다</t>
    </r>
    <r>
      <rPr>
        <sz val="9"/>
        <color rgb="FF595959"/>
        <rFont val="맑은 고딕"/>
        <family val="0"/>
        <charset val="1"/>
      </rPr>
      <t xml:space="preserve">. 1</t>
    </r>
    <r>
      <rPr>
        <sz val="9"/>
        <color rgb="FF595959"/>
        <rFont val="WenQuanYi Zen Hei"/>
        <family val="2"/>
      </rPr>
      <t xml:space="preserve">대</t>
    </r>
    <r>
      <rPr>
        <sz val="9"/>
        <color rgb="FF595959"/>
        <rFont val="맑은 고딕"/>
        <family val="0"/>
        <charset val="1"/>
      </rPr>
      <t xml:space="preserve">(1</t>
    </r>
    <r>
      <rPr>
        <sz val="9"/>
        <color rgb="FF595959"/>
        <rFont val="WenQuanYi Zen Hei"/>
        <family val="2"/>
      </rPr>
      <t xml:space="preserve">세트</t>
    </r>
    <r>
      <rPr>
        <sz val="9"/>
        <color rgb="FF595959"/>
        <rFont val="맑은 고딕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기준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</si>
  <si>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기존 </t>
    </r>
    <r>
      <rPr>
        <b val="true"/>
        <sz val="10"/>
        <color rgb="FF000000"/>
        <rFont val="맑은 고딕"/>
        <family val="0"/>
        <charset val="1"/>
      </rPr>
      <t xml:space="preserve">PLC</t>
    </r>
  </si>
  <si>
    <t xml:space="preserve">필요 사양</t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</si>
  <si>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3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6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</si>
  <si>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단가</t>
  </si>
  <si>
    <t xml:space="preserve">금액</t>
  </si>
  <si>
    <r>
      <rPr>
        <sz val="10"/>
        <color rgb="FF000000"/>
        <rFont val="맑은 고딕"/>
        <family val="0"/>
        <charset val="1"/>
      </rPr>
      <t xml:space="preserve">DC24V (</t>
    </r>
    <r>
      <rPr>
        <sz val="10"/>
        <color rgb="FF000000"/>
        <rFont val="WenQuanYi Zen Hei"/>
        <family val="2"/>
      </rPr>
      <t xml:space="preserve">권장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</si>
  <si>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TM241C24T</t>
  </si>
  <si>
    <r>
      <rPr>
        <b val="true"/>
        <sz val="10"/>
        <color rgb="FF000000"/>
        <rFont val="맑은 고딕"/>
        <family val="0"/>
        <charset val="1"/>
      </rPr>
      <t xml:space="preserve">DC24V 1</t>
    </r>
    <r>
      <rPr>
        <b val="true"/>
        <sz val="10"/>
        <color rgb="FF000000"/>
        <rFont val="WenQuanYi Zen Hei"/>
        <family val="2"/>
      </rPr>
      <t xml:space="preserve">대 가격</t>
    </r>
  </si>
  <si>
    <t xml:space="preserve">TM241C24R</t>
  </si>
  <si>
    <r>
      <rPr>
        <b val="true"/>
        <sz val="10"/>
        <color rgb="FF000000"/>
        <rFont val="맑은 고딕"/>
        <family val="0"/>
        <charset val="1"/>
      </rPr>
      <t xml:space="preserve">AC220V 1</t>
    </r>
    <r>
      <rPr>
        <b val="true"/>
        <sz val="10"/>
        <color rgb="FF000000"/>
        <rFont val="WenQuanYi Zen Hei"/>
        <family val="2"/>
      </rPr>
      <t xml:space="preserve">대 가격</t>
    </r>
  </si>
  <si>
    <r>
      <rPr>
        <sz val="9"/>
        <color rgb="FF375623"/>
        <rFont val="WenQuanYi Zen Hei"/>
        <family val="2"/>
      </rPr>
      <t xml:space="preserve">제공</t>
    </r>
    <r>
      <rPr>
        <sz val="9"/>
        <color rgb="FF375623"/>
        <rFont val="맑은 고딕"/>
        <family val="0"/>
        <charset val="1"/>
      </rPr>
      <t xml:space="preserve">: </t>
    </r>
    <r>
      <rPr>
        <sz val="9"/>
        <color rgb="FF375623"/>
        <rFont val="WenQuanYi Zen Hei"/>
        <family val="2"/>
      </rPr>
      <t xml:space="preserve">입력 </t>
    </r>
    <r>
      <rPr>
        <sz val="9"/>
        <color rgb="FF375623"/>
        <rFont val="맑은 고딕"/>
        <family val="0"/>
        <charset val="1"/>
      </rPr>
      <t xml:space="preserve">14 / </t>
    </r>
    <r>
      <rPr>
        <sz val="9"/>
        <color rgb="FF375623"/>
        <rFont val="WenQuanYi Zen Hei"/>
        <family val="2"/>
      </rPr>
      <t xml:space="preserve">출력 </t>
    </r>
    <r>
      <rPr>
        <sz val="9"/>
        <color rgb="FF375623"/>
        <rFont val="맑은 고딕"/>
        <family val="0"/>
        <charset val="1"/>
      </rPr>
      <t xml:space="preserve">10 / Serial 2CH → </t>
    </r>
    <r>
      <rPr>
        <sz val="9"/>
        <color rgb="FF375623"/>
        <rFont val="WenQuanYi Zen Hei"/>
        <family val="2"/>
      </rPr>
      <t xml:space="preserve">충족</t>
    </r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</si>
  <si>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6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12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</si>
  <si>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TM241C40T</t>
  </si>
  <si>
    <t xml:space="preserve">TM241C40R</t>
  </si>
  <si>
    <r>
      <rPr>
        <sz val="9"/>
        <color rgb="FFC00000"/>
        <rFont val="WenQuanYi Zen Hei"/>
        <family val="2"/>
      </rPr>
      <t xml:space="preserve">제공</t>
    </r>
    <r>
      <rPr>
        <sz val="9"/>
        <color rgb="FFC00000"/>
        <rFont val="맑은 고딕"/>
        <family val="0"/>
        <charset val="1"/>
      </rPr>
      <t xml:space="preserve">: </t>
    </r>
    <r>
      <rPr>
        <sz val="9"/>
        <color rgb="FFC00000"/>
        <rFont val="WenQuanYi Zen Hei"/>
        <family val="2"/>
      </rPr>
      <t xml:space="preserve">입력 </t>
    </r>
    <r>
      <rPr>
        <sz val="9"/>
        <color rgb="FFC00000"/>
        <rFont val="맑은 고딕"/>
        <family val="0"/>
        <charset val="1"/>
      </rPr>
      <t xml:space="preserve">24 / </t>
    </r>
    <r>
      <rPr>
        <sz val="9"/>
        <color rgb="FFC00000"/>
        <rFont val="WenQuanYi Zen Hei"/>
        <family val="2"/>
      </rPr>
      <t xml:space="preserve">출력 </t>
    </r>
    <r>
      <rPr>
        <sz val="9"/>
        <color rgb="FFC00000"/>
        <rFont val="맑은 고딕"/>
        <family val="0"/>
        <charset val="1"/>
      </rPr>
      <t xml:space="preserve">16 / Serial 2CH → </t>
    </r>
    <r>
      <rPr>
        <sz val="9"/>
        <color rgb="FFC00000"/>
        <rFont val="WenQuanYi Zen Hei"/>
        <family val="2"/>
      </rPr>
      <t xml:space="preserve">충족</t>
    </r>
    <r>
      <rPr>
        <sz val="9"/>
        <color rgb="FFC00000"/>
        <rFont val="맑은 고딕"/>
        <family val="0"/>
        <charset val="1"/>
      </rPr>
      <t xml:space="preserve">.  ※ </t>
    </r>
    <r>
      <rPr>
        <sz val="9"/>
        <color rgb="FFC00000"/>
        <rFont val="WenQuanYi Zen Hei"/>
        <family val="2"/>
      </rPr>
      <t xml:space="preserve">기존 </t>
    </r>
    <r>
      <rPr>
        <sz val="9"/>
        <color rgb="FFC00000"/>
        <rFont val="맑은 고딕"/>
        <family val="0"/>
        <charset val="1"/>
      </rPr>
      <t xml:space="preserve">AO561(</t>
    </r>
    <r>
      <rPr>
        <sz val="9"/>
        <color rgb="FFC00000"/>
        <rFont val="WenQuanYi Zen Hei"/>
        <family val="2"/>
      </rPr>
      <t xml:space="preserve">아날로그 출력</t>
    </r>
    <r>
      <rPr>
        <sz val="9"/>
        <color rgb="FFC00000"/>
        <rFont val="맑은 고딕"/>
        <family val="0"/>
        <charset val="1"/>
      </rPr>
      <t xml:space="preserve">)</t>
    </r>
    <r>
      <rPr>
        <sz val="9"/>
        <color rgb="FFC00000"/>
        <rFont val="WenQuanYi Zen Hei"/>
        <family val="2"/>
      </rPr>
      <t xml:space="preserve">을 쓰고 있다면 </t>
    </r>
    <r>
      <rPr>
        <sz val="9"/>
        <color rgb="FFC00000"/>
        <rFont val="맑은 고딕"/>
        <family val="0"/>
        <charset val="1"/>
      </rPr>
      <t xml:space="preserve">TM3AQ2 </t>
    </r>
    <r>
      <rPr>
        <sz val="9"/>
        <color rgb="FFC00000"/>
        <rFont val="WenQuanYi Zen Hei"/>
        <family val="2"/>
      </rPr>
      <t xml:space="preserve">추가 필요 </t>
    </r>
    <r>
      <rPr>
        <sz val="9"/>
        <color rgb="FFC00000"/>
        <rFont val="맑은 고딕"/>
        <family val="0"/>
        <charset val="1"/>
      </rPr>
      <t xml:space="preserve">(+138,400</t>
    </r>
    <r>
      <rPr>
        <sz val="9"/>
        <color rgb="FFC00000"/>
        <rFont val="WenQuanYi Zen Hei"/>
        <family val="2"/>
      </rPr>
      <t xml:space="preserve">원</t>
    </r>
    <r>
      <rPr>
        <sz val="9"/>
        <color rgb="FFC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</si>
  <si>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3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5 / 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1CH / </t>
    </r>
    <r>
      <rPr>
        <sz val="10"/>
        <color rgb="FF000000"/>
        <rFont val="WenQuanYi Zen Hei"/>
        <family val="2"/>
      </rPr>
      <t xml:space="preserve">통신 </t>
    </r>
    <r>
      <rPr>
        <sz val="10"/>
        <color rgb="FF000000"/>
        <rFont val="맑은 고딕"/>
        <family val="0"/>
        <charset val="1"/>
      </rPr>
      <t xml:space="preserve">Serial 2CH  (+10% </t>
    </r>
    <r>
      <rPr>
        <sz val="10"/>
        <color rgb="FF000000"/>
        <rFont val="WenQuanYi Zen Hei"/>
        <family val="2"/>
      </rPr>
      <t xml:space="preserve">여유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</si>
  <si>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TM3AQ2</t>
  </si>
  <si>
    <r>
      <rPr>
        <sz val="9"/>
        <color rgb="FF375623"/>
        <rFont val="WenQuanYi Zen Hei"/>
        <family val="2"/>
      </rPr>
      <t xml:space="preserve">제공</t>
    </r>
    <r>
      <rPr>
        <sz val="9"/>
        <color rgb="FF375623"/>
        <rFont val="맑은 고딕"/>
        <family val="0"/>
        <charset val="1"/>
      </rPr>
      <t xml:space="preserve">: </t>
    </r>
    <r>
      <rPr>
        <sz val="9"/>
        <color rgb="FF375623"/>
        <rFont val="WenQuanYi Zen Hei"/>
        <family val="2"/>
      </rPr>
      <t xml:space="preserve">입력 </t>
    </r>
    <r>
      <rPr>
        <sz val="9"/>
        <color rgb="FF375623"/>
        <rFont val="맑은 고딕"/>
        <family val="0"/>
        <charset val="1"/>
      </rPr>
      <t xml:space="preserve">14 / </t>
    </r>
    <r>
      <rPr>
        <sz val="9"/>
        <color rgb="FF375623"/>
        <rFont val="WenQuanYi Zen Hei"/>
        <family val="2"/>
      </rPr>
      <t xml:space="preserve">출력 </t>
    </r>
    <r>
      <rPr>
        <sz val="9"/>
        <color rgb="FF375623"/>
        <rFont val="맑은 고딕"/>
        <family val="0"/>
        <charset val="1"/>
      </rPr>
      <t xml:space="preserve">10 / </t>
    </r>
    <r>
      <rPr>
        <sz val="9"/>
        <color rgb="FF375623"/>
        <rFont val="WenQuanYi Zen Hei"/>
        <family val="2"/>
      </rPr>
      <t xml:space="preserve">아날로그 출력 </t>
    </r>
    <r>
      <rPr>
        <sz val="9"/>
        <color rgb="FF375623"/>
        <rFont val="맑은 고딕"/>
        <family val="0"/>
        <charset val="1"/>
      </rPr>
      <t xml:space="preserve">2CH / Serial 2CH → </t>
    </r>
    <r>
      <rPr>
        <sz val="9"/>
        <color rgb="FF375623"/>
        <rFont val="WenQuanYi Zen Hei"/>
        <family val="2"/>
      </rPr>
      <t xml:space="preserve">충족</t>
    </r>
  </si>
  <si>
    <r>
      <rPr>
        <sz val="10"/>
        <color rgb="FF000000"/>
        <rFont val="WenQuanYi Zen Hei"/>
        <family val="2"/>
      </rPr>
      <t xml:space="preserve">현행 유지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102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54 (</t>
    </r>
    <r>
      <rPr>
        <sz val="10"/>
        <color rgb="FF000000"/>
        <rFont val="WenQuanYi Zen Hei"/>
        <family val="2"/>
      </rPr>
      <t xml:space="preserve">릴레이만</t>
    </r>
    <r>
      <rPr>
        <sz val="10"/>
        <color rgb="FF000000"/>
        <rFont val="맑은 고딕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4CH / Serial 1CH + </t>
    </r>
    <r>
      <rPr>
        <sz val="10"/>
        <color rgb="FF000000"/>
        <rFont val="WenQuanYi Zen Hei"/>
        <family val="2"/>
      </rPr>
      <t xml:space="preserve">이더넷 </t>
    </r>
    <r>
      <rPr>
        <sz val="10"/>
        <color rgb="FF000000"/>
        <rFont val="맑은 고딕"/>
        <family val="0"/>
        <charset val="1"/>
      </rPr>
      <t xml:space="preserve">1CH</t>
    </r>
  </si>
  <si>
    <r>
      <rPr>
        <sz val="10"/>
        <color rgb="FF000000"/>
        <rFont val="맑은 고딕"/>
        <family val="0"/>
        <charset val="1"/>
      </rPr>
      <t xml:space="preserve">DC24V (</t>
    </r>
    <r>
      <rPr>
        <sz val="10"/>
        <color rgb="FF000000"/>
        <rFont val="WenQuanYi Zen Hei"/>
        <family val="2"/>
      </rPr>
      <t xml:space="preserve">필수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</si>
  <si>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C00000"/>
        <rFont val="WenQuanYi Zen Hei"/>
        <family val="2"/>
      </rPr>
      <t xml:space="preserve">제공</t>
    </r>
    <r>
      <rPr>
        <sz val="9"/>
        <color rgb="FFC00000"/>
        <rFont val="맑은 고딕"/>
        <family val="0"/>
        <charset val="1"/>
      </rPr>
      <t xml:space="preserve">: </t>
    </r>
    <r>
      <rPr>
        <sz val="9"/>
        <color rgb="FFC00000"/>
        <rFont val="WenQuanYi Zen Hei"/>
        <family val="2"/>
      </rPr>
      <t xml:space="preserve">입력 </t>
    </r>
    <r>
      <rPr>
        <sz val="9"/>
        <color rgb="FFC00000"/>
        <rFont val="맑은 고딕"/>
        <family val="0"/>
        <charset val="1"/>
      </rPr>
      <t xml:space="preserve">110 / </t>
    </r>
    <r>
      <rPr>
        <sz val="9"/>
        <color rgb="FFC00000"/>
        <rFont val="WenQuanYi Zen Hei"/>
        <family val="2"/>
      </rPr>
      <t xml:space="preserve">릴레이 출력 </t>
    </r>
    <r>
      <rPr>
        <sz val="9"/>
        <color rgb="FFC00000"/>
        <rFont val="맑은 고딕"/>
        <family val="0"/>
        <charset val="1"/>
      </rPr>
      <t xml:space="preserve">64 / </t>
    </r>
    <r>
      <rPr>
        <sz val="9"/>
        <color rgb="FFC00000"/>
        <rFont val="WenQuanYi Zen Hei"/>
        <family val="2"/>
      </rPr>
      <t xml:space="preserve">아날로그 출력 </t>
    </r>
    <r>
      <rPr>
        <sz val="9"/>
        <color rgb="FFC00000"/>
        <rFont val="맑은 고딕"/>
        <family val="0"/>
        <charset val="1"/>
      </rPr>
      <t xml:space="preserve">4CH / Serial 2CH + </t>
    </r>
    <r>
      <rPr>
        <sz val="9"/>
        <color rgb="FFC00000"/>
        <rFont val="WenQuanYi Zen Hei"/>
        <family val="2"/>
      </rPr>
      <t xml:space="preserve">이더넷 → 충족</t>
    </r>
    <r>
      <rPr>
        <sz val="9"/>
        <color rgb="FFC00000"/>
        <rFont val="맑은 고딕"/>
        <family val="0"/>
        <charset val="1"/>
      </rPr>
      <t xml:space="preserve">.  ※ </t>
    </r>
    <r>
      <rPr>
        <sz val="9"/>
        <color rgb="FFC00000"/>
        <rFont val="WenQuanYi Zen Hei"/>
        <family val="2"/>
      </rPr>
      <t xml:space="preserve">확장 모듈 </t>
    </r>
    <r>
      <rPr>
        <sz val="9"/>
        <color rgb="FFC00000"/>
        <rFont val="맑은 고딕"/>
        <family val="0"/>
        <charset val="1"/>
      </rPr>
      <t xml:space="preserve">11</t>
    </r>
    <r>
      <rPr>
        <sz val="9"/>
        <color rgb="FFC00000"/>
        <rFont val="WenQuanYi Zen Hei"/>
        <family val="2"/>
      </rPr>
      <t xml:space="preserve">개 → 버스 확장 부품</t>
    </r>
    <r>
      <rPr>
        <sz val="9"/>
        <color rgb="FFC00000"/>
        <rFont val="맑은 고딕"/>
        <family val="0"/>
        <charset val="1"/>
      </rPr>
      <t xml:space="preserve">(TM3XTRA1/TM3XREC1) </t>
    </r>
    <r>
      <rPr>
        <sz val="9"/>
        <color rgb="FFC00000"/>
        <rFont val="WenQuanYi Zen Hei"/>
        <family val="2"/>
      </rPr>
      <t xml:space="preserve">추가 필요</t>
    </r>
    <r>
      <rPr>
        <sz val="9"/>
        <color rgb="FFC00000"/>
        <rFont val="맑은 고딕"/>
        <family val="0"/>
        <charset val="1"/>
      </rPr>
      <t xml:space="preserve">, </t>
    </r>
    <r>
      <rPr>
        <sz val="9"/>
        <color rgb="FFC00000"/>
        <rFont val="WenQuanYi Zen Hei"/>
        <family val="2"/>
      </rPr>
      <t xml:space="preserve">가격 미포함</t>
    </r>
  </si>
  <si>
    <r>
      <rPr>
        <b val="true"/>
        <sz val="14"/>
        <color rgb="FF1F3864"/>
        <rFont val="맑은 고딕"/>
        <family val="0"/>
        <charset val="1"/>
      </rPr>
      <t xml:space="preserve">CPU </t>
    </r>
    <r>
      <rPr>
        <b val="true"/>
        <sz val="14"/>
        <color rgb="FF1F3864"/>
        <rFont val="WenQuanYi Zen Hei"/>
        <family val="2"/>
      </rPr>
      <t xml:space="preserve">할인율</t>
    </r>
    <r>
      <rPr>
        <b val="true"/>
        <sz val="14"/>
        <color rgb="FF1F3864"/>
        <rFont val="맑은 고딕"/>
        <family val="0"/>
        <charset val="1"/>
      </rPr>
      <t xml:space="preserve">(DF)</t>
    </r>
    <r>
      <rPr>
        <b val="true"/>
        <sz val="14"/>
        <color rgb="FF1F3864"/>
        <rFont val="WenQuanYi Zen Hei"/>
        <family val="2"/>
      </rPr>
      <t xml:space="preserve">을 바꾸면 얼마나 싸지나</t>
    </r>
  </si>
  <si>
    <t xml:space="preserve">현재 할인율</t>
  </si>
  <si>
    <t xml:space="preserve">목표 할인율</t>
  </si>
  <si>
    <t xml:space="preserve">← 숫자를 바꿔 보세요</t>
  </si>
  <si>
    <r>
      <rPr>
        <b val="true"/>
        <sz val="10"/>
        <color rgb="FFFFFFFF"/>
        <rFont val="맑은 고딕"/>
        <family val="0"/>
        <charset val="1"/>
      </rPr>
      <t xml:space="preserve">CPU </t>
    </r>
    <r>
      <rPr>
        <b val="true"/>
        <sz val="10"/>
        <color rgb="FFFFFFFF"/>
        <rFont val="WenQuanYi Zen Hei"/>
        <family val="2"/>
      </rPr>
      <t xml:space="preserve">모델</t>
    </r>
  </si>
  <si>
    <t xml:space="preserve">리스트가</t>
  </si>
  <si>
    <t xml:space="preserve">현재 매입가</t>
  </si>
  <si>
    <t xml:space="preserve">목표 매입가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</si>
  <si>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대당 절감</t>
    </r>
  </si>
  <si>
    <t xml:space="preserve">연간 절감</t>
  </si>
  <si>
    <t xml:space="preserve">DC</t>
  </si>
  <si>
    <t xml:space="preserve">TSU + ANU-S (DC24V)</t>
  </si>
  <si>
    <t xml:space="preserve">ANU (DC24V)</t>
  </si>
  <si>
    <t xml:space="preserve">AC</t>
  </si>
  <si>
    <t xml:space="preserve">TSU + ANU-S (AC220V)</t>
  </si>
  <si>
    <t xml:space="preserve">ANU (AC220V)</t>
  </si>
  <si>
    <r>
      <rPr>
        <b val="true"/>
        <sz val="10"/>
        <color rgb="FF000000"/>
        <rFont val="맑은 고딕"/>
        <family val="0"/>
        <charset val="1"/>
      </rPr>
      <t xml:space="preserve">DC24V</t>
    </r>
    <r>
      <rPr>
        <b val="true"/>
        <sz val="10"/>
        <color rgb="FF000000"/>
        <rFont val="WenQuanYi Zen Hei"/>
        <family val="2"/>
      </rPr>
      <t xml:space="preserve">로 살 때 연간 절감 </t>
    </r>
    <r>
      <rPr>
        <b val="true"/>
        <sz val="10"/>
        <color rgb="FF000000"/>
        <rFont val="맑은 고딕"/>
        <family val="0"/>
        <charset val="1"/>
      </rPr>
      <t xml:space="preserve">(TM241C24T + C40T + CE24T)</t>
    </r>
  </si>
  <si>
    <r>
      <rPr>
        <b val="true"/>
        <sz val="10"/>
        <color rgb="FF000000"/>
        <rFont val="맑은 고딕"/>
        <family val="0"/>
        <charset val="1"/>
      </rPr>
      <t xml:space="preserve">AC220V</t>
    </r>
    <r>
      <rPr>
        <b val="true"/>
        <sz val="10"/>
        <color rgb="FF000000"/>
        <rFont val="WenQuanYi Zen Hei"/>
        <family val="2"/>
      </rPr>
      <t xml:space="preserve">로 살 때 연간 절감 </t>
    </r>
    <r>
      <rPr>
        <b val="true"/>
        <sz val="10"/>
        <color rgb="FF000000"/>
        <rFont val="맑은 고딕"/>
        <family val="0"/>
        <charset val="1"/>
      </rPr>
      <t xml:space="preserve">(TM241C24R + C40R + MCC CE24T)</t>
    </r>
  </si>
  <si>
    <r>
      <rPr>
        <sz val="9"/>
        <color rgb="FF7F7F7F"/>
        <rFont val="WenQuanYi Zen Hei"/>
        <family val="2"/>
      </rPr>
      <t xml:space="preserve">※ 확장 모듈</t>
    </r>
    <r>
      <rPr>
        <sz val="9"/>
        <color rgb="FF7F7F7F"/>
        <rFont val="맑은 고딕"/>
        <family val="0"/>
        <charset val="1"/>
      </rPr>
      <t xml:space="preserve">(TM3)</t>
    </r>
    <r>
      <rPr>
        <sz val="9"/>
        <color rgb="FF7F7F7F"/>
        <rFont val="WenQuanYi Zen Hei"/>
        <family val="2"/>
      </rPr>
      <t xml:space="preserve">의 할인율 </t>
    </r>
    <r>
      <rPr>
        <sz val="9"/>
        <color rgb="FF7F7F7F"/>
        <rFont val="맑은 고딕"/>
        <family val="0"/>
        <charset val="1"/>
      </rPr>
      <t xml:space="preserve">0.40</t>
    </r>
    <r>
      <rPr>
        <sz val="9"/>
        <color rgb="FF7F7F7F"/>
        <rFont val="WenQuanYi Zen Hei"/>
        <family val="2"/>
      </rPr>
      <t xml:space="preserve">은 그대로 두고</t>
    </r>
    <r>
      <rPr>
        <sz val="9"/>
        <color rgb="FF7F7F7F"/>
        <rFont val="맑은 고딕"/>
        <family val="0"/>
        <charset val="1"/>
      </rPr>
      <t xml:space="preserve">, CPU</t>
    </r>
    <r>
      <rPr>
        <sz val="9"/>
        <color rgb="FF7F7F7F"/>
        <rFont val="WenQuanYi Zen Hei"/>
        <family val="2"/>
      </rPr>
      <t xml:space="preserve">만 계산했습니다</t>
    </r>
    <r>
      <rPr>
        <sz val="9"/>
        <color rgb="FF7F7F7F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</si>
  <si>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단가표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받은 견적 그대로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</si>
  <si>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매입 단가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리스트가 </t>
    </r>
    <r>
      <rPr>
        <sz val="9"/>
        <color rgb="FF595959"/>
        <rFont val="맑은 고딕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할인율</t>
    </r>
    <r>
      <rPr>
        <sz val="9"/>
        <color rgb="FF595959"/>
        <rFont val="맑은 고딕"/>
        <family val="0"/>
        <charset val="1"/>
      </rPr>
      <t xml:space="preserve">(DF)</t>
    </r>
  </si>
  <si>
    <r>
      <rPr>
        <b val="true"/>
        <sz val="10"/>
        <color rgb="FFFFFFFF"/>
        <rFont val="WenQuanYi Zen Hei"/>
        <family val="2"/>
      </rPr>
      <t xml:space="preserve">할인율 </t>
    </r>
    <r>
      <rPr>
        <b val="true"/>
        <sz val="10"/>
        <color rgb="FFFFFFFF"/>
        <rFont val="맑은 고딕"/>
        <family val="0"/>
        <charset val="1"/>
      </rPr>
      <t xml:space="preserve">(DF)</t>
    </r>
  </si>
  <si>
    <t xml:space="preserve">매입 단가</t>
  </si>
  <si>
    <r>
      <rPr>
        <sz val="10"/>
        <color rgb="FF000000"/>
        <rFont val="맑은 고딕"/>
        <family val="0"/>
        <charset val="1"/>
      </rPr>
      <t xml:space="preserve">CPU + </t>
    </r>
    <r>
      <rPr>
        <sz val="10"/>
        <color rgb="FF000000"/>
        <rFont val="WenQuanYi Zen Hei"/>
        <family val="2"/>
      </rPr>
      <t xml:space="preserve">이더넷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</si>
  <si>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</si>
  <si>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14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10 = </t>
    </r>
    <r>
      <rPr>
        <sz val="10"/>
        <color rgb="FF000000"/>
        <rFont val="WenQuanYi Zen Hei"/>
        <family val="2"/>
      </rPr>
      <t xml:space="preserve">릴레이 </t>
    </r>
    <r>
      <rPr>
        <sz val="10"/>
        <color rgb="FF000000"/>
        <rFont val="맑은 고딕"/>
        <family val="0"/>
        <charset val="1"/>
      </rPr>
      <t xml:space="preserve">6 + TR 4)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</si>
  <si>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24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16)</t>
    </r>
  </si>
  <si>
    <r>
      <rPr>
        <sz val="10"/>
        <color rgb="FF000000"/>
        <rFont val="맑은 고딕"/>
        <family val="0"/>
        <charset val="1"/>
      </rPr>
      <t xml:space="preserve">CPU (</t>
    </r>
    <r>
      <rPr>
        <sz val="10"/>
        <color rgb="FF000000"/>
        <rFont val="WenQuanYi Zen Hei"/>
        <family val="2"/>
      </rPr>
      <t xml:space="preserve">입력 </t>
    </r>
    <r>
      <rPr>
        <sz val="10"/>
        <color rgb="FF000000"/>
        <rFont val="맑은 고딕"/>
        <family val="0"/>
        <charset val="1"/>
      </rPr>
      <t xml:space="preserve">24 / </t>
    </r>
    <r>
      <rPr>
        <sz val="10"/>
        <color rgb="FF000000"/>
        <rFont val="WenQuanYi Zen Hei"/>
        <family val="2"/>
      </rPr>
      <t xml:space="preserve">출력 </t>
    </r>
    <r>
      <rPr>
        <sz val="10"/>
        <color rgb="FF000000"/>
        <rFont val="맑은 고딕"/>
        <family val="0"/>
        <charset val="1"/>
      </rPr>
      <t xml:space="preserve">16 = </t>
    </r>
    <r>
      <rPr>
        <sz val="10"/>
        <color rgb="FF000000"/>
        <rFont val="WenQuanYi Zen Hei"/>
        <family val="2"/>
      </rPr>
      <t xml:space="preserve">릴레이 </t>
    </r>
    <r>
      <rPr>
        <sz val="10"/>
        <color rgb="FF000000"/>
        <rFont val="맑은 고딕"/>
        <family val="0"/>
        <charset val="1"/>
      </rPr>
      <t xml:space="preserve">12 + TR 4)</t>
    </r>
  </si>
  <si>
    <t xml:space="preserve">-</t>
  </si>
  <si>
    <r>
      <rPr>
        <sz val="10"/>
        <color rgb="FF000000"/>
        <rFont val="WenQuanYi Zen Hei"/>
        <family val="2"/>
      </rPr>
      <t xml:space="preserve">디지털 입력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</si>
  <si>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t xml:space="preserve">TM3DI8</t>
  </si>
  <si>
    <r>
      <rPr>
        <sz val="10"/>
        <color rgb="FF000000"/>
        <rFont val="WenQuanYi Zen Hei"/>
        <family val="2"/>
      </rPr>
      <t xml:space="preserve">디지털 입력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</si>
  <si>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r>
      <rPr>
        <sz val="10"/>
        <color rgb="FF000000"/>
        <rFont val="WenQuanYi Zen Hei"/>
        <family val="2"/>
      </rPr>
      <t xml:space="preserve">릴레이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</si>
  <si>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t xml:space="preserve">TM3DQ16T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</si>
  <si>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</t>
    </r>
  </si>
  <si>
    <t xml:space="preserve">TM3DQ16U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</si>
  <si>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점 </t>
    </r>
    <r>
      <rPr>
        <sz val="10"/>
        <color rgb="FF000000"/>
        <rFont val="맑은 고딕"/>
        <family val="0"/>
        <charset val="1"/>
      </rPr>
      <t xml:space="preserve">(Sink)</t>
    </r>
  </si>
  <si>
    <t xml:space="preserve">TM3DQ8R</t>
  </si>
  <si>
    <r>
      <rPr>
        <sz val="10"/>
        <color rgb="FF000000"/>
        <rFont val="WenQuanYi Zen Hei"/>
        <family val="2"/>
      </rPr>
      <t xml:space="preserve">릴레이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</si>
  <si>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t xml:space="preserve">TM3DQ8T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</si>
  <si>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</t>
    </r>
  </si>
  <si>
    <t xml:space="preserve">TM3DQ8U</t>
  </si>
  <si>
    <r>
      <rPr>
        <sz val="10"/>
        <color rgb="FF000000"/>
        <rFont val="WenQuanYi Zen Hei"/>
        <family val="2"/>
      </rPr>
      <t xml:space="preserve">트랜지스터 출력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점 </t>
    </r>
    <r>
      <rPr>
        <sz val="10"/>
        <color rgb="FF000000"/>
        <rFont val="맑은 고딕"/>
        <family val="0"/>
        <charset val="1"/>
      </rPr>
      <t xml:space="preserve">(Sink)</t>
    </r>
  </si>
  <si>
    <t xml:space="preserve">TM3AI2H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</si>
  <si>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2CH</t>
    </r>
  </si>
  <si>
    <t xml:space="preserve">TM3AI4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</si>
  <si>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4CH</t>
    </r>
  </si>
  <si>
    <t xml:space="preserve">TM3AI8</t>
  </si>
  <si>
    <r>
      <rPr>
        <sz val="10"/>
        <color rgb="FF000000"/>
        <rFont val="WenQuanYi Zen Hei"/>
        <family val="2"/>
      </rPr>
      <t xml:space="preserve">아날로그 입력 </t>
    </r>
    <r>
      <rPr>
        <sz val="10"/>
        <color rgb="FF000000"/>
        <rFont val="맑은 고딕"/>
        <family val="0"/>
        <charset val="1"/>
      </rPr>
      <t xml:space="preserve">8CH</t>
    </r>
  </si>
  <si>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2CH</t>
    </r>
  </si>
  <si>
    <r>
      <rPr>
        <sz val="10"/>
        <color rgb="FF000000"/>
        <rFont val="WenQuanYi Zen Hei"/>
        <family val="2"/>
      </rPr>
      <t xml:space="preserve">아날로그 출력 </t>
    </r>
    <r>
      <rPr>
        <sz val="10"/>
        <color rgb="FF000000"/>
        <rFont val="맑은 고딕"/>
        <family val="0"/>
        <charset val="1"/>
      </rPr>
      <t xml:space="preserve">4CH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</si>
</sst>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-#,##0;\-"/>
    <numFmt numFmtId="166" formatCode="0.0%"/>
    <numFmt numFmtId="167" formatCode="0.00"/>
  </numFmts>
  <fonts count="5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맑은 고딕"/>
      <family val="0"/>
      <charset val="1"/>
    </font>
    <font>
      <b val="true"/>
      <sz val="16"/>
      <color rgb="FF1F3864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맑은 고딕"/>
      <family val="0"/>
      <charset val="1"/>
    </font>
    <font>
      <b val="true"/>
      <sz val="9"/>
      <color rgb="FF000000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sz val="9"/>
      <color rgb="FF000000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sz val="10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9"/>
      <color rgb="FF7F7F7F"/>
      <name val="맑은 고딕"/>
      <family val="0"/>
      <charset val="1"/>
    </font>
    <font>
      <sz val="9"/>
      <color rgb="FF7F7F7F"/>
      <name val="WenQuanYi Zen Hei"/>
      <family val="2"/>
    </font>
    <font>
      <b val="true"/>
      <sz val="10"/>
      <color rgb="FF7F7F7F"/>
      <name val="맑은 고딕"/>
      <family val="0"/>
      <charset val="1"/>
    </font>
    <font>
      <b val="true"/>
      <sz val="11"/>
      <color rgb="FF000000"/>
      <name val="WenQuanYi Zen Hei"/>
      <family val="2"/>
    </font>
    <font>
      <b val="true"/>
      <sz val="12"/>
      <color rgb="FF1F3864"/>
      <name val="맑은 고딕"/>
      <family val="0"/>
      <charset val="1"/>
    </font>
    <font>
      <sz val="8"/>
      <color rgb="FF7F7F7F"/>
      <name val="맑은 고딕"/>
      <family val="0"/>
      <charset val="1"/>
    </font>
    <font>
      <sz val="8"/>
      <color rgb="FF7F7F7F"/>
      <name val="WenQuanYi Zen Hei"/>
      <family val="2"/>
    </font>
    <font>
      <b val="true"/>
      <sz val="13"/>
      <color rgb="FF1F3864"/>
      <name val="WenQuanYi Zen Hei"/>
      <family val="2"/>
    </font>
    <font>
      <b val="true"/>
      <sz val="10"/>
      <color rgb="FF000000"/>
      <name val="WenQuanYi Zen Hei"/>
      <family val="2"/>
    </font>
    <font>
      <sz val="10"/>
      <color rgb="FF375623"/>
      <name val="맑은 고딕"/>
      <family val="0"/>
      <charset val="1"/>
    </font>
    <font>
      <sz val="10"/>
      <color rgb="FF375623"/>
      <name val="WenQuanYi Zen Hei"/>
      <family val="2"/>
    </font>
    <font>
      <sz val="10"/>
      <color rgb="FFC00000"/>
      <name val="맑은 고딕"/>
      <family val="0"/>
      <charset val="1"/>
    </font>
    <font>
      <sz val="10"/>
      <color rgb="FFC00000"/>
      <name val="WenQuanYi Zen Hei"/>
      <family val="2"/>
    </font>
    <font>
      <sz val="10"/>
      <color rgb="FF000000"/>
      <name val="WenQuanYi Zen Hei"/>
      <family val="2"/>
    </font>
    <font>
      <b val="true"/>
      <sz val="10"/>
      <color rgb="FF1F3864"/>
      <name val="WenQuanYi Zen Hei"/>
      <family val="2"/>
    </font>
    <font>
      <b val="true"/>
      <sz val="10"/>
      <color rgb="FFC00000"/>
      <name val="맑은 고딕"/>
      <family val="0"/>
      <charset val="1"/>
    </font>
    <font>
      <b val="true"/>
      <sz val="14"/>
      <color rgb="FF1F3864"/>
      <name val="맑은 고딕"/>
      <family val="0"/>
      <charset val="1"/>
    </font>
    <font>
      <b val="true"/>
      <sz val="14"/>
      <color rgb="FF1F3864"/>
      <name val="WenQuanYi Zen Hei"/>
      <family val="2"/>
    </font>
    <font>
      <b val="true"/>
      <sz val="9"/>
      <color rgb="FF375623"/>
      <name val="WenQuanYi Zen Hei"/>
      <family val="2"/>
    </font>
    <font>
      <b val="true"/>
      <sz val="9"/>
      <color rgb="FF7F6000"/>
      <name val="WenQuanYi Zen Hei"/>
      <family val="2"/>
    </font>
    <font>
      <b val="true"/>
      <sz val="9"/>
      <color rgb="FFC00000"/>
      <name val="맑은 고딕"/>
      <family val="0"/>
      <charset val="1"/>
    </font>
    <font>
      <b val="true"/>
      <sz val="9"/>
      <color rgb="FFC00000"/>
      <name val="WenQuanYi Zen Hei"/>
      <family val="2"/>
    </font>
    <font>
      <b val="true"/>
      <sz val="10"/>
      <color rgb="FF1F3864"/>
      <name val="맑은 고딕"/>
      <family val="0"/>
      <charset val="1"/>
    </font>
    <font>
      <sz val="9"/>
      <color rgb="FF000000"/>
      <name val="WenQuanYi Zen Hei"/>
      <family val="2"/>
    </font>
    <font>
      <b val="true"/>
      <sz val="14"/>
      <color rgb="FF375623"/>
      <name val="맑은 고딕"/>
      <family val="0"/>
      <charset val="1"/>
    </font>
    <font>
      <b val="true"/>
      <sz val="14"/>
      <color rgb="FFC00000"/>
      <name val="맑은 고딕"/>
      <family val="0"/>
      <charset val="1"/>
    </font>
    <font>
      <b val="true"/>
      <sz val="14"/>
      <color rgb="FF7F6000"/>
      <name val="맑은 고딕"/>
      <family val="0"/>
      <charset val="1"/>
    </font>
    <font>
      <b val="true"/>
      <sz val="9"/>
      <color rgb="FF7F6000"/>
      <name val="맑은 고딕"/>
      <family val="0"/>
      <charset val="1"/>
    </font>
    <font>
      <b val="true"/>
      <sz val="12"/>
      <color rgb="FF1F3864"/>
      <name val="WenQuanYi Zen Hei"/>
      <family val="2"/>
    </font>
    <font>
      <sz val="9"/>
      <color rgb="FFC00000"/>
      <name val="WenQuanYi Zen Hei"/>
      <family val="2"/>
    </font>
    <font>
      <b val="true"/>
      <sz val="11"/>
      <color rgb="FF1F3864"/>
      <name val="맑은 고딕"/>
      <family val="0"/>
      <charset val="1"/>
    </font>
    <font>
      <b val="true"/>
      <sz val="13"/>
      <color rgb="FFFFFFFF"/>
      <name val="맑은 고딕"/>
      <family val="0"/>
      <charset val="1"/>
    </font>
    <font>
      <sz val="9"/>
      <color rgb="FF375623"/>
      <name val="WenQuanYi Zen Hei"/>
      <family val="2"/>
    </font>
    <font>
      <sz val="9"/>
      <color rgb="FF375623"/>
      <name val="맑은 고딕"/>
      <family val="0"/>
      <charset val="1"/>
    </font>
    <font>
      <sz val="9"/>
      <color rgb="FFC00000"/>
      <name val="맑은 고딕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3864"/>
        <bgColor rgb="FF333399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8CBAD"/>
        <bgColor rgb="FFFFF2CC"/>
      </patternFill>
    </fill>
    <fill>
      <patternFill patternType="solid">
        <fgColor rgb="FFF2F2F2"/>
        <bgColor rgb="FFE2EFD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medium">
        <color rgb="FF808080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6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맑은 고딕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7F7F7F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7" min="6" style="0" width="16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2" t="s">
        <v>3</v>
      </c>
    </row>
    <row r="5" customFormat="false" ht="36" hidden="false" customHeight="true" outlineLevel="0" collapsed="false">
      <c r="A5" s="4" t="s">
        <v>4</v>
      </c>
      <c r="B5" s="4" t="s">
        <v>5</v>
      </c>
      <c r="C5" s="4" t="s">
        <v>6</v>
      </c>
      <c r="D5" s="5" t="s">
        <v>7</v>
      </c>
      <c r="E5" s="5" t="s">
        <v>8</v>
      </c>
      <c r="F5" s="4" t="s">
        <v>9</v>
      </c>
      <c r="G5" s="4" t="s">
        <v>10</v>
      </c>
    </row>
    <row r="6" customFormat="false" ht="30" hidden="false" customHeight="true" outlineLevel="0" collapsed="false">
      <c r="A6" s="6" t="s">
        <v>11</v>
      </c>
      <c r="B6" s="7" t="s">
        <v>12</v>
      </c>
      <c r="C6" s="8" t="n">
        <v>200</v>
      </c>
      <c r="D6" s="9" t="n">
        <f aca="false">'프로젝트별 구성'!F9</f>
        <v>392850</v>
      </c>
      <c r="E6" s="9" t="n">
        <f aca="false">'프로젝트별 구성'!F11</f>
        <v>384750</v>
      </c>
      <c r="F6" s="10" t="n">
        <f aca="false">C6*D6</f>
        <v>78570000</v>
      </c>
      <c r="G6" s="10" t="n">
        <f aca="false">C6*E6</f>
        <v>76950000</v>
      </c>
    </row>
    <row r="7" customFormat="false" ht="30" hidden="false" customHeight="true" outlineLevel="0" collapsed="false">
      <c r="A7" s="6" t="s">
        <v>13</v>
      </c>
      <c r="B7" s="7" t="s">
        <v>14</v>
      </c>
      <c r="C7" s="8" t="n">
        <v>300</v>
      </c>
      <c r="D7" s="9" t="n">
        <f aca="false">'프로젝트별 구성'!F19</f>
        <v>417600</v>
      </c>
      <c r="E7" s="9" t="n">
        <f aca="false">'프로젝트별 구성'!F21</f>
        <v>406350</v>
      </c>
      <c r="F7" s="10" t="n">
        <f aca="false">C7*D7</f>
        <v>125280000</v>
      </c>
      <c r="G7" s="10" t="n">
        <f aca="false">C7*E7</f>
        <v>121905000</v>
      </c>
    </row>
    <row r="8" customFormat="false" ht="30" hidden="false" customHeight="true" outlineLevel="0" collapsed="false">
      <c r="A8" s="6" t="s">
        <v>15</v>
      </c>
      <c r="B8" s="7" t="s">
        <v>16</v>
      </c>
      <c r="C8" s="8" t="n">
        <v>50</v>
      </c>
      <c r="D8" s="9" t="n">
        <f aca="false">'프로젝트별 구성'!F30</f>
        <v>531250</v>
      </c>
      <c r="E8" s="9" t="n">
        <f aca="false">'프로젝트별 구성'!F33</f>
        <v>523150</v>
      </c>
      <c r="F8" s="10" t="n">
        <f aca="false">C8*D8</f>
        <v>26562500</v>
      </c>
      <c r="G8" s="10" t="n">
        <f aca="false">C8*E8</f>
        <v>26157500</v>
      </c>
    </row>
    <row r="9" customFormat="false" ht="30" hidden="false" customHeight="true" outlineLevel="0" collapsed="false">
      <c r="A9" s="6" t="s">
        <v>17</v>
      </c>
      <c r="B9" s="7" t="s">
        <v>18</v>
      </c>
      <c r="C9" s="8" t="n">
        <v>100</v>
      </c>
      <c r="D9" s="9" t="n">
        <f aca="false">'프로젝트별 구성'!F44</f>
        <v>1449500</v>
      </c>
      <c r="E9" s="11" t="s">
        <v>19</v>
      </c>
      <c r="F9" s="10" t="n">
        <f aca="false">C9*D9</f>
        <v>144950000</v>
      </c>
      <c r="G9" s="12" t="n">
        <f aca="false">F9</f>
        <v>144950000</v>
      </c>
    </row>
    <row r="10" customFormat="false" ht="25.5" hidden="false" customHeight="true" outlineLevel="0" collapsed="false">
      <c r="A10" s="13" t="s">
        <v>20</v>
      </c>
      <c r="B10" s="13"/>
      <c r="C10" s="14" t="n">
        <f aca="false">SUM(C6:C9)</f>
        <v>650</v>
      </c>
      <c r="D10" s="15"/>
      <c r="E10" s="15"/>
      <c r="F10" s="16" t="n">
        <f aca="false">SUM(F6:F9)</f>
        <v>375362500</v>
      </c>
      <c r="G10" s="16" t="n">
        <f aca="false">SUM(G6:G9)</f>
        <v>369962500</v>
      </c>
    </row>
    <row r="11" customFormat="false" ht="15" hidden="false" customHeight="false" outlineLevel="0" collapsed="false">
      <c r="A11" s="17" t="s">
        <v>21</v>
      </c>
    </row>
    <row r="13" customFormat="false" ht="16.15" hidden="false" customHeight="false" outlineLevel="0" collapsed="false">
      <c r="A13" s="18" t="s">
        <v>22</v>
      </c>
    </row>
    <row r="14" customFormat="false" ht="31.5" hidden="false" customHeight="true" outlineLevel="0" collapsed="false">
      <c r="A14" s="19" t="str">
        <f aca="false">"① 연간 구매금액: DC24V 기준 약 "&amp;TEXT(F10/100000000,"0.00")&amp;"억 원,  AC220V 기준 약 "&amp;TEXT(G10/100000000,"0.00")&amp;"억 원"</f>
        <v>① 연간 구매금액: DC24V 기준 약 3.75억 원,  AC220V 기준 약 3.70억 원</v>
      </c>
      <c r="B14" s="19"/>
      <c r="C14" s="19"/>
      <c r="D14" s="19"/>
      <c r="E14" s="19"/>
      <c r="F14" s="19"/>
      <c r="G14" s="19"/>
    </row>
    <row r="15" customFormat="false" ht="19.5" hidden="false" customHeight="true" outlineLevel="0" collapsed="false">
      <c r="A15" s="20" t="s">
        <v>23</v>
      </c>
      <c r="B15" s="20"/>
      <c r="C15" s="20"/>
      <c r="D15" s="20"/>
      <c r="E15" s="20"/>
      <c r="F15" s="20"/>
      <c r="G15" s="20"/>
    </row>
    <row r="16" customFormat="false" ht="31.5" hidden="false" customHeight="true" outlineLevel="0" collapsed="false">
      <c r="A16" s="21" t="s">
        <v>24</v>
      </c>
      <c r="B16" s="21"/>
      <c r="C16" s="21"/>
      <c r="D16" s="21"/>
      <c r="E16" s="21"/>
      <c r="F16" s="21"/>
      <c r="G16" s="21"/>
    </row>
    <row r="17" customFormat="false" ht="31.5" hidden="false" customHeight="true" outlineLevel="0" collapsed="false">
      <c r="A17" s="21" t="s">
        <v>25</v>
      </c>
      <c r="B17" s="21"/>
      <c r="C17" s="21"/>
      <c r="D17" s="21"/>
      <c r="E17" s="21"/>
      <c r="F17" s="21"/>
      <c r="G17" s="21"/>
    </row>
    <row r="18" customFormat="false" ht="31.5" hidden="false" customHeight="true" outlineLevel="0" collapsed="false">
      <c r="A18" s="22" t="s">
        <v>26</v>
      </c>
      <c r="B18" s="22"/>
      <c r="C18" s="22"/>
      <c r="D18" s="22"/>
      <c r="E18" s="22"/>
      <c r="F18" s="22"/>
      <c r="G18" s="22"/>
    </row>
    <row r="19" customFormat="false" ht="19.5" hidden="false" customHeight="true" outlineLevel="0" collapsed="false">
      <c r="A19" s="22" t="s">
        <v>27</v>
      </c>
      <c r="B19" s="22"/>
      <c r="C19" s="22"/>
      <c r="D19" s="22"/>
      <c r="E19" s="22"/>
      <c r="F19" s="22"/>
      <c r="G19" s="22"/>
    </row>
    <row r="20" customFormat="false" ht="19.5" hidden="false" customHeight="true" outlineLevel="0" collapsed="false">
      <c r="A20" s="23" t="s">
        <v>28</v>
      </c>
      <c r="B20" s="23"/>
      <c r="C20" s="23"/>
      <c r="D20" s="23"/>
      <c r="E20" s="23"/>
      <c r="F20" s="23"/>
      <c r="G20" s="23"/>
    </row>
    <row r="21" customFormat="false" ht="21.75" hidden="false" customHeight="true" outlineLevel="0" collapsed="false">
      <c r="A21" s="24" t="str">
        <f aca="false">"⑧ 연간 마진 (DC24V 납품): "&amp;IF(ISNUMBER('마진 계산'!E17),TEXT('마진 계산'!E17,"#,##0")&amp;"원  (마진율 "&amp;TEXT('마진 계산'!F17,"0.0%")&amp;")","타겟 프라이스를 '마진 계산' 시트에 넣으면 여기에 표시됩니다")</f>
        <v>⑧ 연간 마진 (DC24V 납품): 타겟 프라이스를 '마진 계산' 시트에 넣으면 여기에 표시됩니다</v>
      </c>
      <c r="B21" s="24"/>
      <c r="C21" s="24"/>
      <c r="D21" s="24"/>
      <c r="E21" s="24"/>
      <c r="F21" s="24"/>
      <c r="G21" s="24"/>
    </row>
    <row r="22" customFormat="false" ht="21.75" hidden="false" customHeight="true" outlineLevel="0" collapsed="false">
      <c r="A22" s="25" t="str">
        <f aca="false">"⑨ Schneider 제안 검토: 반드시 수정 "&amp;COUNTIF('Schneider 제안 검토'!F7:F24,"✕")&amp;"건, 보완 "&amp;COUNTIF('Schneider 제안 검토'!F7:F24,"△")&amp;"건  → 'Schneider 제안 검토' 시트"</f>
        <v>⑨ Schneider 제안 검토: 반드시 수정 4건, 보완 6건  → 'Schneider 제안 검토' 시트</v>
      </c>
      <c r="B22" s="25"/>
      <c r="C22" s="25"/>
      <c r="D22" s="25"/>
      <c r="E22" s="25"/>
      <c r="F22" s="25"/>
      <c r="G22" s="25"/>
    </row>
  </sheetData>
  <mergeCells count="10">
    <mergeCell ref="A10:B10"/>
    <mergeCell ref="A14:G14"/>
    <mergeCell ref="A15:G15"/>
    <mergeCell ref="A16:G16"/>
    <mergeCell ref="A17:G17"/>
    <mergeCell ref="A18:G18"/>
    <mergeCell ref="A19:G19"/>
    <mergeCell ref="A20:G20"/>
    <mergeCell ref="A21:G21"/>
    <mergeCell ref="A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32"/>
    <col collapsed="false" customWidth="true" hidden="false" outlineLevel="0" max="6" min="6" style="0" width="7"/>
    <col collapsed="false" customWidth="true" hidden="false" outlineLevel="0" max="7" min="7" style="0" width="44"/>
  </cols>
  <sheetData>
    <row r="1" customFormat="false" ht="19.4" hidden="false" customHeight="false" outlineLevel="0" collapsed="false">
      <c r="A1" s="26" t="s">
        <v>29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true" outlineLevel="0" collapsed="false">
      <c r="A3" s="27" t="s">
        <v>31</v>
      </c>
      <c r="B3" s="27"/>
      <c r="C3" s="28" t="s">
        <v>32</v>
      </c>
      <c r="D3" s="29" t="s">
        <v>33</v>
      </c>
      <c r="E3" s="30" t="str">
        <f aca="false">"✕ "&amp;COUNTIF(F7:F24,"✕")&amp;"건   △ "&amp;COUNTIF(F7:F24,"△")&amp;"건   ○ "&amp;COUNTIF(F7:F24,"○")&amp;"건"</f>
        <v>✕ 4건   △ 6건   ○ 8건</v>
      </c>
      <c r="F3" s="30"/>
      <c r="G3" s="30"/>
    </row>
    <row r="6" customFormat="false" ht="25.5" hidden="false" customHeight="true" outlineLevel="0" collapsed="false">
      <c r="A6" s="5" t="s">
        <v>34</v>
      </c>
      <c r="B6" s="4" t="s">
        <v>35</v>
      </c>
      <c r="C6" s="4" t="s">
        <v>36</v>
      </c>
      <c r="D6" s="5" t="s">
        <v>37</v>
      </c>
      <c r="E6" s="5" t="s">
        <v>38</v>
      </c>
      <c r="F6" s="4" t="s">
        <v>39</v>
      </c>
      <c r="G6" s="4" t="s">
        <v>40</v>
      </c>
    </row>
    <row r="7" customFormat="false" ht="48" hidden="false" customHeight="true" outlineLevel="0" collapsed="false">
      <c r="A7" s="31" t="n">
        <v>1</v>
      </c>
      <c r="B7" s="32" t="s">
        <v>41</v>
      </c>
      <c r="C7" s="33" t="s">
        <v>42</v>
      </c>
      <c r="D7" s="34" t="s">
        <v>43</v>
      </c>
      <c r="E7" s="7" t="s">
        <v>44</v>
      </c>
      <c r="F7" s="35" t="s">
        <v>45</v>
      </c>
      <c r="G7" s="34" t="s">
        <v>46</v>
      </c>
    </row>
    <row r="8" customFormat="false" ht="48" hidden="false" customHeight="true" outlineLevel="0" collapsed="false">
      <c r="A8" s="31" t="n">
        <v>2</v>
      </c>
      <c r="B8" s="32" t="s">
        <v>41</v>
      </c>
      <c r="C8" s="33" t="s">
        <v>47</v>
      </c>
      <c r="D8" s="34" t="s">
        <v>48</v>
      </c>
      <c r="E8" s="7" t="s">
        <v>49</v>
      </c>
      <c r="F8" s="35" t="s">
        <v>45</v>
      </c>
      <c r="G8" s="34" t="s">
        <v>50</v>
      </c>
    </row>
    <row r="9" customFormat="false" ht="48" hidden="false" customHeight="true" outlineLevel="0" collapsed="false">
      <c r="A9" s="31" t="n">
        <v>3</v>
      </c>
      <c r="B9" s="32" t="s">
        <v>41</v>
      </c>
      <c r="C9" s="33" t="s">
        <v>51</v>
      </c>
      <c r="D9" s="34" t="s">
        <v>52</v>
      </c>
      <c r="E9" s="7" t="s">
        <v>53</v>
      </c>
      <c r="F9" s="35" t="s">
        <v>45</v>
      </c>
      <c r="G9" s="34" t="s">
        <v>54</v>
      </c>
    </row>
    <row r="10" customFormat="false" ht="48" hidden="false" customHeight="true" outlineLevel="0" collapsed="false">
      <c r="A10" s="31" t="n">
        <v>4</v>
      </c>
      <c r="B10" s="32" t="s">
        <v>41</v>
      </c>
      <c r="C10" s="33" t="s">
        <v>55</v>
      </c>
      <c r="D10" s="7" t="s">
        <v>56</v>
      </c>
      <c r="E10" s="34" t="s">
        <v>57</v>
      </c>
      <c r="F10" s="36" t="s">
        <v>58</v>
      </c>
      <c r="G10" s="37" t="s">
        <v>59</v>
      </c>
    </row>
    <row r="11" customFormat="false" ht="48" hidden="false" customHeight="true" outlineLevel="0" collapsed="false">
      <c r="A11" s="31" t="n">
        <v>5</v>
      </c>
      <c r="B11" s="32" t="s">
        <v>41</v>
      </c>
      <c r="C11" s="33" t="s">
        <v>60</v>
      </c>
      <c r="D11" s="34" t="s">
        <v>61</v>
      </c>
      <c r="E11" s="34" t="s">
        <v>62</v>
      </c>
      <c r="F11" s="36" t="s">
        <v>58</v>
      </c>
      <c r="G11" s="37" t="s">
        <v>63</v>
      </c>
    </row>
    <row r="12" customFormat="false" ht="33.75" hidden="false" customHeight="true" outlineLevel="0" collapsed="false">
      <c r="A12" s="31" t="n">
        <v>6</v>
      </c>
      <c r="B12" s="32" t="s">
        <v>41</v>
      </c>
      <c r="C12" s="33" t="s">
        <v>64</v>
      </c>
      <c r="D12" s="7" t="s">
        <v>65</v>
      </c>
      <c r="E12" s="7" t="s">
        <v>66</v>
      </c>
      <c r="F12" s="35" t="s">
        <v>45</v>
      </c>
      <c r="G12" s="34" t="s">
        <v>67</v>
      </c>
    </row>
    <row r="13" customFormat="false" ht="48" hidden="false" customHeight="true" outlineLevel="0" collapsed="false">
      <c r="A13" s="31" t="n">
        <v>7</v>
      </c>
      <c r="B13" s="32" t="s">
        <v>41</v>
      </c>
      <c r="C13" s="33" t="s">
        <v>68</v>
      </c>
      <c r="D13" s="7" t="s">
        <v>69</v>
      </c>
      <c r="E13" s="34" t="s">
        <v>70</v>
      </c>
      <c r="F13" s="38" t="s">
        <v>71</v>
      </c>
      <c r="G13" s="39" t="s">
        <v>72</v>
      </c>
    </row>
    <row r="14" customFormat="false" ht="33.75" hidden="false" customHeight="true" outlineLevel="0" collapsed="false">
      <c r="A14" s="31" t="n">
        <v>8</v>
      </c>
      <c r="B14" s="32" t="s">
        <v>73</v>
      </c>
      <c r="C14" s="40" t="s">
        <v>74</v>
      </c>
      <c r="D14" s="7" t="s">
        <v>75</v>
      </c>
      <c r="E14" s="7" t="s">
        <v>76</v>
      </c>
      <c r="F14" s="35" t="s">
        <v>45</v>
      </c>
      <c r="G14" s="34" t="s">
        <v>67</v>
      </c>
    </row>
    <row r="15" customFormat="false" ht="48" hidden="false" customHeight="true" outlineLevel="0" collapsed="false">
      <c r="A15" s="31" t="n">
        <v>9</v>
      </c>
      <c r="B15" s="32" t="s">
        <v>73</v>
      </c>
      <c r="C15" s="33" t="s">
        <v>77</v>
      </c>
      <c r="D15" s="7" t="s">
        <v>78</v>
      </c>
      <c r="E15" s="7" t="s">
        <v>79</v>
      </c>
      <c r="F15" s="35" t="s">
        <v>45</v>
      </c>
      <c r="G15" s="34" t="s">
        <v>80</v>
      </c>
    </row>
    <row r="16" customFormat="false" ht="48" hidden="false" customHeight="true" outlineLevel="0" collapsed="false">
      <c r="A16" s="31" t="n">
        <v>10</v>
      </c>
      <c r="B16" s="32" t="s">
        <v>73</v>
      </c>
      <c r="C16" s="33" t="s">
        <v>81</v>
      </c>
      <c r="D16" s="7" t="s">
        <v>82</v>
      </c>
      <c r="E16" s="7" t="s">
        <v>83</v>
      </c>
      <c r="F16" s="35" t="s">
        <v>45</v>
      </c>
      <c r="G16" s="7" t="s">
        <v>84</v>
      </c>
    </row>
    <row r="17" customFormat="false" ht="33.75" hidden="false" customHeight="true" outlineLevel="0" collapsed="false">
      <c r="A17" s="31" t="n">
        <v>11</v>
      </c>
      <c r="B17" s="32" t="s">
        <v>73</v>
      </c>
      <c r="C17" s="33" t="s">
        <v>85</v>
      </c>
      <c r="D17" s="7" t="s">
        <v>86</v>
      </c>
      <c r="E17" s="7" t="s">
        <v>87</v>
      </c>
      <c r="F17" s="38" t="s">
        <v>71</v>
      </c>
      <c r="G17" s="41" t="s">
        <v>88</v>
      </c>
    </row>
    <row r="18" customFormat="false" ht="21.75" hidden="false" customHeight="true" outlineLevel="0" collapsed="false">
      <c r="A18" s="31" t="n">
        <v>12</v>
      </c>
      <c r="B18" s="32" t="s">
        <v>73</v>
      </c>
      <c r="C18" s="40" t="s">
        <v>89</v>
      </c>
      <c r="D18" s="7" t="s">
        <v>90</v>
      </c>
      <c r="E18" s="7" t="s">
        <v>91</v>
      </c>
      <c r="F18" s="36" t="s">
        <v>58</v>
      </c>
      <c r="G18" s="37" t="s">
        <v>92</v>
      </c>
    </row>
    <row r="19" customFormat="false" ht="48" hidden="false" customHeight="true" outlineLevel="0" collapsed="false">
      <c r="A19" s="31" t="n">
        <v>13</v>
      </c>
      <c r="B19" s="32" t="s">
        <v>73</v>
      </c>
      <c r="C19" s="33" t="s">
        <v>93</v>
      </c>
      <c r="D19" s="34" t="s">
        <v>94</v>
      </c>
      <c r="E19" s="34" t="s">
        <v>95</v>
      </c>
      <c r="F19" s="38" t="s">
        <v>71</v>
      </c>
      <c r="G19" s="39" t="s">
        <v>96</v>
      </c>
    </row>
    <row r="20" customFormat="false" ht="33.75" hidden="false" customHeight="true" outlineLevel="0" collapsed="false">
      <c r="A20" s="31" t="n">
        <v>14</v>
      </c>
      <c r="B20" s="32" t="s">
        <v>73</v>
      </c>
      <c r="C20" s="40" t="s">
        <v>97</v>
      </c>
      <c r="D20" s="7" t="s">
        <v>98</v>
      </c>
      <c r="E20" s="7" t="s">
        <v>99</v>
      </c>
      <c r="F20" s="35" t="s">
        <v>45</v>
      </c>
      <c r="G20" s="34" t="s">
        <v>100</v>
      </c>
    </row>
    <row r="21" customFormat="false" ht="61.5" hidden="false" customHeight="true" outlineLevel="0" collapsed="false">
      <c r="A21" s="31" t="n">
        <v>15</v>
      </c>
      <c r="B21" s="32" t="s">
        <v>101</v>
      </c>
      <c r="C21" s="40" t="s">
        <v>102</v>
      </c>
      <c r="D21" s="34" t="s">
        <v>103</v>
      </c>
      <c r="E21" s="34" t="s">
        <v>104</v>
      </c>
      <c r="F21" s="38" t="s">
        <v>71</v>
      </c>
      <c r="G21" s="39" t="s">
        <v>105</v>
      </c>
    </row>
    <row r="22" customFormat="false" ht="75.75" hidden="false" customHeight="true" outlineLevel="0" collapsed="false">
      <c r="A22" s="31" t="n">
        <v>16</v>
      </c>
      <c r="B22" s="32" t="s">
        <v>101</v>
      </c>
      <c r="C22" s="33" t="s">
        <v>106</v>
      </c>
      <c r="D22" s="7" t="s">
        <v>107</v>
      </c>
      <c r="E22" s="34" t="s">
        <v>108</v>
      </c>
      <c r="F22" s="38" t="s">
        <v>71</v>
      </c>
      <c r="G22" s="41" t="s">
        <v>109</v>
      </c>
    </row>
    <row r="23" customFormat="false" ht="21.75" hidden="false" customHeight="true" outlineLevel="0" collapsed="false">
      <c r="A23" s="31" t="n">
        <v>17</v>
      </c>
      <c r="B23" s="32" t="s">
        <v>101</v>
      </c>
      <c r="C23" s="40" t="s">
        <v>110</v>
      </c>
      <c r="D23" s="34" t="s">
        <v>111</v>
      </c>
      <c r="E23" s="34" t="s">
        <v>112</v>
      </c>
      <c r="F23" s="36" t="s">
        <v>58</v>
      </c>
      <c r="G23" s="42" t="s">
        <v>113</v>
      </c>
    </row>
    <row r="24" customFormat="false" ht="33.75" hidden="false" customHeight="true" outlineLevel="0" collapsed="false">
      <c r="A24" s="31" t="n">
        <v>18</v>
      </c>
      <c r="B24" s="32" t="s">
        <v>101</v>
      </c>
      <c r="C24" s="33" t="s">
        <v>114</v>
      </c>
      <c r="D24" s="34" t="s">
        <v>115</v>
      </c>
      <c r="E24" s="34" t="s">
        <v>116</v>
      </c>
      <c r="F24" s="38" t="s">
        <v>71</v>
      </c>
      <c r="G24" s="39" t="s">
        <v>117</v>
      </c>
    </row>
    <row r="26" customFormat="false" ht="16.4" hidden="false" customHeight="false" outlineLevel="0" collapsed="false">
      <c r="A26" s="43" t="s">
        <v>118</v>
      </c>
    </row>
    <row r="27" customFormat="false" ht="21.75" hidden="false" customHeight="true" outlineLevel="0" collapsed="false">
      <c r="C27" s="4" t="s">
        <v>119</v>
      </c>
      <c r="D27" s="4" t="s">
        <v>120</v>
      </c>
      <c r="E27" s="4" t="s">
        <v>121</v>
      </c>
      <c r="F27" s="4" t="s">
        <v>122</v>
      </c>
    </row>
    <row r="28" customFormat="false" ht="19.5" hidden="false" customHeight="true" outlineLevel="0" collapsed="false">
      <c r="C28" s="33" t="s">
        <v>123</v>
      </c>
      <c r="D28" s="7" t="s">
        <v>124</v>
      </c>
      <c r="E28" s="34" t="s">
        <v>125</v>
      </c>
      <c r="F28" s="31" t="n">
        <v>1</v>
      </c>
    </row>
    <row r="29" customFormat="false" ht="19.5" hidden="false" customHeight="true" outlineLevel="0" collapsed="false">
      <c r="C29" s="33" t="s">
        <v>126</v>
      </c>
      <c r="D29" s="34" t="s">
        <v>127</v>
      </c>
      <c r="E29" s="34" t="s">
        <v>128</v>
      </c>
      <c r="F29" s="31" t="n">
        <v>6</v>
      </c>
    </row>
    <row r="30" customFormat="false" ht="19.5" hidden="false" customHeight="true" outlineLevel="0" collapsed="false">
      <c r="C30" s="33" t="s">
        <v>129</v>
      </c>
      <c r="D30" s="34" t="s">
        <v>130</v>
      </c>
      <c r="E30" s="34" t="s">
        <v>131</v>
      </c>
      <c r="F30" s="31" t="n">
        <v>4</v>
      </c>
    </row>
    <row r="31" customFormat="false" ht="19.5" hidden="false" customHeight="true" outlineLevel="0" collapsed="false">
      <c r="C31" s="33" t="s">
        <v>132</v>
      </c>
      <c r="D31" s="34" t="s">
        <v>133</v>
      </c>
      <c r="E31" s="34" t="s">
        <v>134</v>
      </c>
      <c r="F31" s="31" t="n">
        <v>1</v>
      </c>
    </row>
    <row r="32" customFormat="false" ht="19.5" hidden="false" customHeight="true" outlineLevel="0" collapsed="false">
      <c r="C32" s="33" t="s">
        <v>135</v>
      </c>
      <c r="D32" s="7" t="s">
        <v>136</v>
      </c>
      <c r="E32" s="44" t="s">
        <v>137</v>
      </c>
      <c r="F32" s="31" t="n">
        <v>1</v>
      </c>
    </row>
    <row r="33" customFormat="false" ht="13.4" hidden="false" customHeight="false" outlineLevel="0" collapsed="false">
      <c r="A33" s="45" t="s">
        <v>138</v>
      </c>
      <c r="B33" s="45"/>
      <c r="C33" s="45"/>
      <c r="D33" s="45"/>
      <c r="E33" s="45"/>
      <c r="F33" s="45"/>
      <c r="G33" s="45"/>
    </row>
    <row r="35" customFormat="false" ht="16.4" hidden="false" customHeight="false" outlineLevel="0" collapsed="false">
      <c r="A35" s="43" t="s">
        <v>139</v>
      </c>
    </row>
    <row r="36" customFormat="false" ht="19.5" hidden="false" customHeight="true" outlineLevel="0" collapsed="false">
      <c r="A36" s="22" t="s">
        <v>140</v>
      </c>
      <c r="B36" s="22"/>
      <c r="C36" s="22"/>
      <c r="D36" s="22"/>
      <c r="E36" s="22"/>
      <c r="F36" s="22"/>
      <c r="G36" s="22"/>
    </row>
    <row r="37" customFormat="false" ht="19.5" hidden="false" customHeight="true" outlineLevel="0" collapsed="false">
      <c r="A37" s="22" t="s">
        <v>141</v>
      </c>
      <c r="B37" s="22"/>
      <c r="C37" s="22"/>
      <c r="D37" s="22"/>
      <c r="E37" s="22"/>
      <c r="F37" s="22"/>
      <c r="G37" s="22"/>
    </row>
    <row r="38" customFormat="false" ht="19.5" hidden="false" customHeight="true" outlineLevel="0" collapsed="false">
      <c r="A38" s="22" t="s">
        <v>142</v>
      </c>
      <c r="B38" s="22"/>
      <c r="C38" s="22"/>
      <c r="D38" s="22"/>
      <c r="E38" s="22"/>
      <c r="F38" s="22"/>
      <c r="G38" s="22"/>
    </row>
  </sheetData>
  <mergeCells count="6">
    <mergeCell ref="A3:B3"/>
    <mergeCell ref="E3:G3"/>
    <mergeCell ref="A33:G33"/>
    <mergeCell ref="A36:G36"/>
    <mergeCell ref="A37:G37"/>
    <mergeCell ref="A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9" min="8" style="0" width="15"/>
    <col collapsed="false" customWidth="true" hidden="false" outlineLevel="0" max="10" min="10" style="0" width="22"/>
  </cols>
  <sheetData>
    <row r="1" customFormat="false" ht="17.35" hidden="false" customHeight="false" outlineLevel="0" collapsed="false">
      <c r="A1" s="46" t="s">
        <v>143</v>
      </c>
    </row>
    <row r="2" customFormat="false" ht="15" hidden="false" customHeight="false" outlineLevel="0" collapsed="false">
      <c r="A2" s="2" t="s">
        <v>144</v>
      </c>
    </row>
    <row r="3" customFormat="false" ht="15" hidden="false" customHeight="false" outlineLevel="0" collapsed="false">
      <c r="A3" s="2" t="s">
        <v>145</v>
      </c>
    </row>
    <row r="5" customFormat="false" ht="36" hidden="false" customHeight="true" outlineLevel="0" collapsed="false">
      <c r="A5" s="4" t="s">
        <v>4</v>
      </c>
      <c r="B5" s="4" t="s">
        <v>146</v>
      </c>
      <c r="C5" s="4" t="s">
        <v>147</v>
      </c>
      <c r="D5" s="4" t="s">
        <v>148</v>
      </c>
      <c r="E5" s="4" t="s">
        <v>149</v>
      </c>
      <c r="F5" s="4" t="s">
        <v>150</v>
      </c>
      <c r="G5" s="4" t="s">
        <v>151</v>
      </c>
      <c r="H5" s="4" t="s">
        <v>152</v>
      </c>
      <c r="I5" s="4" t="s">
        <v>153</v>
      </c>
    </row>
    <row r="6" customFormat="false" ht="21.75" hidden="false" customHeight="true" outlineLevel="0" collapsed="false">
      <c r="A6" s="6" t="s">
        <v>11</v>
      </c>
      <c r="B6" s="31" t="s">
        <v>154</v>
      </c>
      <c r="C6" s="47" t="n">
        <f aca="false">요약!C6</f>
        <v>200</v>
      </c>
      <c r="D6" s="9" t="n">
        <f aca="false">'프로젝트별 구성'!F9</f>
        <v>392850</v>
      </c>
      <c r="E6" s="48"/>
      <c r="F6" s="10" t="str">
        <f aca="false">IF(E6="","",E6-D6)</f>
        <v/>
      </c>
      <c r="G6" s="49" t="str">
        <f aca="false">IF(OR(E6="",E6=0),"",F6/E6)</f>
        <v/>
      </c>
      <c r="H6" s="9" t="str">
        <f aca="false">IF(E6="","",C6*E6)</f>
        <v/>
      </c>
      <c r="I6" s="10" t="str">
        <f aca="false">IF(E6="","",C6*F6)</f>
        <v/>
      </c>
      <c r="J6" s="50" t="s">
        <v>155</v>
      </c>
    </row>
    <row r="7" customFormat="false" ht="21.75" hidden="false" customHeight="true" outlineLevel="0" collapsed="false">
      <c r="A7" s="51" t="s">
        <v>11</v>
      </c>
      <c r="B7" s="52" t="s">
        <v>156</v>
      </c>
      <c r="C7" s="53" t="n">
        <f aca="false">요약!C6</f>
        <v>200</v>
      </c>
      <c r="D7" s="54" t="n">
        <f aca="false">'프로젝트별 구성'!F11</f>
        <v>384750</v>
      </c>
      <c r="E7" s="55"/>
      <c r="F7" s="56" t="str">
        <f aca="false">IF(E7="","",E7-D7)</f>
        <v/>
      </c>
      <c r="G7" s="57" t="str">
        <f aca="false">IF(OR(E7="",E7=0),"",F7/E7)</f>
        <v/>
      </c>
      <c r="H7" s="54" t="str">
        <f aca="false">IF(E7="","",C7*E7)</f>
        <v/>
      </c>
      <c r="I7" s="56" t="str">
        <f aca="false">IF(E7="","",C7*F7)</f>
        <v/>
      </c>
    </row>
    <row r="8" customFormat="false" ht="21.75" hidden="false" customHeight="true" outlineLevel="0" collapsed="false">
      <c r="A8" s="6" t="s">
        <v>13</v>
      </c>
      <c r="B8" s="31" t="s">
        <v>154</v>
      </c>
      <c r="C8" s="47" t="n">
        <f aca="false">요약!C7</f>
        <v>300</v>
      </c>
      <c r="D8" s="9" t="n">
        <f aca="false">'프로젝트별 구성'!F19</f>
        <v>417600</v>
      </c>
      <c r="E8" s="48"/>
      <c r="F8" s="10" t="str">
        <f aca="false">IF(E8="","",E8-D8)</f>
        <v/>
      </c>
      <c r="G8" s="49" t="str">
        <f aca="false">IF(OR(E8="",E8=0),"",F8/E8)</f>
        <v/>
      </c>
      <c r="H8" s="9" t="str">
        <f aca="false">IF(E8="","",C8*E8)</f>
        <v/>
      </c>
      <c r="I8" s="10" t="str">
        <f aca="false">IF(E8="","",C8*F8)</f>
        <v/>
      </c>
    </row>
    <row r="9" customFormat="false" ht="21.75" hidden="false" customHeight="true" outlineLevel="0" collapsed="false">
      <c r="A9" s="51" t="s">
        <v>13</v>
      </c>
      <c r="B9" s="52" t="s">
        <v>156</v>
      </c>
      <c r="C9" s="53" t="n">
        <f aca="false">요약!C7</f>
        <v>300</v>
      </c>
      <c r="D9" s="54" t="n">
        <f aca="false">'프로젝트별 구성'!F21</f>
        <v>406350</v>
      </c>
      <c r="E9" s="55"/>
      <c r="F9" s="56" t="str">
        <f aca="false">IF(E9="","",E9-D9)</f>
        <v/>
      </c>
      <c r="G9" s="57" t="str">
        <f aca="false">IF(OR(E9="",E9=0),"",F9/E9)</f>
        <v/>
      </c>
      <c r="H9" s="54" t="str">
        <f aca="false">IF(E9="","",C9*E9)</f>
        <v/>
      </c>
      <c r="I9" s="56" t="str">
        <f aca="false">IF(E9="","",C9*F9)</f>
        <v/>
      </c>
    </row>
    <row r="10" customFormat="false" ht="21.75" hidden="false" customHeight="true" outlineLevel="0" collapsed="false">
      <c r="A10" s="6" t="s">
        <v>15</v>
      </c>
      <c r="B10" s="31" t="s">
        <v>154</v>
      </c>
      <c r="C10" s="47" t="n">
        <f aca="false">요약!C8</f>
        <v>50</v>
      </c>
      <c r="D10" s="9" t="n">
        <f aca="false">'프로젝트별 구성'!F30</f>
        <v>531250</v>
      </c>
      <c r="E10" s="48"/>
      <c r="F10" s="10" t="str">
        <f aca="false">IF(E10="","",E10-D10)</f>
        <v/>
      </c>
      <c r="G10" s="49" t="str">
        <f aca="false">IF(OR(E10="",E10=0),"",F10/E10)</f>
        <v/>
      </c>
      <c r="H10" s="9" t="str">
        <f aca="false">IF(E10="","",C10*E10)</f>
        <v/>
      </c>
      <c r="I10" s="10" t="str">
        <f aca="false">IF(E10="","",C10*F10)</f>
        <v/>
      </c>
    </row>
    <row r="11" customFormat="false" ht="21.75" hidden="false" customHeight="true" outlineLevel="0" collapsed="false">
      <c r="A11" s="51" t="s">
        <v>15</v>
      </c>
      <c r="B11" s="52" t="s">
        <v>156</v>
      </c>
      <c r="C11" s="53" t="n">
        <f aca="false">요약!C8</f>
        <v>50</v>
      </c>
      <c r="D11" s="54" t="n">
        <f aca="false">'프로젝트별 구성'!F33</f>
        <v>523150</v>
      </c>
      <c r="E11" s="55"/>
      <c r="F11" s="56" t="str">
        <f aca="false">IF(E11="","",E11-D11)</f>
        <v/>
      </c>
      <c r="G11" s="57" t="str">
        <f aca="false">IF(OR(E11="",E11=0),"",F11/E11)</f>
        <v/>
      </c>
      <c r="H11" s="54" t="str">
        <f aca="false">IF(E11="","",C11*E11)</f>
        <v/>
      </c>
      <c r="I11" s="56" t="str">
        <f aca="false">IF(E11="","",C11*F11)</f>
        <v/>
      </c>
    </row>
    <row r="12" customFormat="false" ht="21.75" hidden="false" customHeight="true" outlineLevel="0" collapsed="false">
      <c r="A12" s="6" t="s">
        <v>17</v>
      </c>
      <c r="B12" s="31" t="s">
        <v>154</v>
      </c>
      <c r="C12" s="47" t="n">
        <f aca="false">요약!C9</f>
        <v>100</v>
      </c>
      <c r="D12" s="9" t="n">
        <f aca="false">'프로젝트별 구성'!F44</f>
        <v>1449500</v>
      </c>
      <c r="E12" s="48"/>
      <c r="F12" s="10" t="str">
        <f aca="false">IF(E12="","",E12-D12)</f>
        <v/>
      </c>
      <c r="G12" s="49" t="str">
        <f aca="false">IF(OR(E12="",E12=0),"",F12/E12)</f>
        <v/>
      </c>
      <c r="H12" s="9" t="str">
        <f aca="false">IF(E12="","",C12*E12)</f>
        <v/>
      </c>
      <c r="I12" s="10" t="str">
        <f aca="false">IF(E12="","",C12*F12)</f>
        <v/>
      </c>
    </row>
    <row r="15" customFormat="false" ht="16.4" hidden="false" customHeight="false" outlineLevel="0" collapsed="false">
      <c r="A15" s="58" t="s">
        <v>157</v>
      </c>
    </row>
    <row r="16" customFormat="false" ht="25.5" hidden="false" customHeight="true" outlineLevel="0" collapsed="false">
      <c r="A16" s="4" t="s">
        <v>158</v>
      </c>
      <c r="B16" s="4"/>
      <c r="C16" s="4" t="s">
        <v>159</v>
      </c>
      <c r="D16" s="4" t="s">
        <v>152</v>
      </c>
      <c r="E16" s="4" t="s">
        <v>153</v>
      </c>
      <c r="F16" s="4" t="s">
        <v>151</v>
      </c>
    </row>
    <row r="17" customFormat="false" ht="25.5" hidden="false" customHeight="true" outlineLevel="0" collapsed="false">
      <c r="A17" s="59" t="s">
        <v>160</v>
      </c>
      <c r="B17" s="59"/>
      <c r="C17" s="9" t="n">
        <f aca="false">C6*D6+C8*D8+C10*D10+C12*D12</f>
        <v>375362500</v>
      </c>
      <c r="D17" s="9" t="str">
        <f aca="false">IF((E6="")+(E8="")+(E10="")+(E12="")&gt;0,"타겟 "&amp;((E6="")+(E8="")+(E10="")+(E12=""))&amp;"건 미입력",H6+H8+H10+H12)</f>
        <v>타겟 4건 미입력</v>
      </c>
      <c r="E17" s="60" t="str">
        <f aca="false">IF(ISNUMBER(D17),D17-C17,"")</f>
        <v/>
      </c>
      <c r="F17" s="61" t="str">
        <f aca="false">IF(ISNUMBER(D17),E17/D17,"")</f>
        <v/>
      </c>
    </row>
    <row r="18" customFormat="false" ht="25.5" hidden="false" customHeight="true" outlineLevel="0" collapsed="false">
      <c r="A18" s="59" t="s">
        <v>161</v>
      </c>
      <c r="B18" s="59"/>
      <c r="C18" s="9" t="n">
        <f aca="false">C7*D7+C9*D9+C11*D11+C12*D12</f>
        <v>369962500</v>
      </c>
      <c r="D18" s="9" t="str">
        <f aca="false">IF((E7="")+(E9="")+(E11="")+(E12="")&gt;0,"타겟 "&amp;((E7="")+(E9="")+(E11="")+(E12=""))&amp;"건 미입력",H7+H9+H11+H12)</f>
        <v>타겟 4건 미입력</v>
      </c>
      <c r="E18" s="60" t="str">
        <f aca="false">IF(ISNUMBER(D18),D18-C18,"")</f>
        <v/>
      </c>
      <c r="F18" s="61" t="str">
        <f aca="false">IF(ISNUMBER(D18),E18/D18,"")</f>
        <v/>
      </c>
    </row>
    <row r="20" customFormat="false" ht="15" hidden="false" customHeight="false" outlineLevel="0" collapsed="false">
      <c r="A20" s="62" t="s">
        <v>162</v>
      </c>
    </row>
    <row r="21" customFormat="false" ht="15" hidden="false" customHeight="false" outlineLevel="0" collapsed="false">
      <c r="A21" s="62" t="s">
        <v>163</v>
      </c>
    </row>
  </sheetData>
  <mergeCells count="3">
    <mergeCell ref="A16:B16"/>
    <mergeCell ref="A17:B17"/>
    <mergeCell ref="A18:B18"/>
  </mergeCells>
  <conditionalFormatting sqref="F6:I12">
    <cfRule type="expression" priority="2" aboveAverage="0" equalAverage="0" bottom="0" percent="0" rank="0" text="" dxfId="0">
      <formula>AND(ISNUMBER(F6),F6&lt;0)</formula>
    </cfRule>
  </conditionalFormatting>
  <conditionalFormatting sqref="E17:F18">
    <cfRule type="expression" priority="3" aboveAverage="0" equalAverage="0" bottom="0" percent="0" rank="0" text="" dxfId="0">
      <formula>AND(ISNUMBER(E17),E17&lt;0)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34"/>
    <col collapsed="false" customWidth="true" hidden="false" outlineLevel="0" max="4" min="4" style="0" width="7"/>
    <col collapsed="false" customWidth="true" hidden="false" outlineLevel="0" max="5" min="5" style="0" width="12"/>
    <col collapsed="false" customWidth="true" hidden="false" outlineLevel="0" max="6" min="6" style="0" width="14"/>
  </cols>
  <sheetData>
    <row r="1" customFormat="false" ht="19.4" hidden="false" customHeight="false" outlineLevel="0" collapsed="false">
      <c r="A1" s="46" t="s">
        <v>164</v>
      </c>
    </row>
    <row r="2" customFormat="false" ht="15" hidden="false" customHeight="false" outlineLevel="0" collapsed="false">
      <c r="A2" s="2" t="s">
        <v>165</v>
      </c>
    </row>
    <row r="4" customFormat="false" ht="24" hidden="false" customHeight="true" outlineLevel="0" collapsed="false">
      <c r="A4" s="63" t="s">
        <v>11</v>
      </c>
      <c r="B4" s="63"/>
      <c r="C4" s="63"/>
      <c r="D4" s="63"/>
      <c r="E4" s="63"/>
      <c r="F4" s="63"/>
    </row>
    <row r="5" customFormat="false" ht="15" hidden="false" customHeight="true" outlineLevel="0" collapsed="false">
      <c r="A5" s="64" t="s">
        <v>166</v>
      </c>
      <c r="B5" s="65" t="s">
        <v>12</v>
      </c>
      <c r="C5" s="65"/>
      <c r="D5" s="65"/>
      <c r="E5" s="65"/>
      <c r="F5" s="65"/>
    </row>
    <row r="6" customFormat="false" ht="15" hidden="false" customHeight="true" outlineLevel="0" collapsed="false">
      <c r="A6" s="64" t="s">
        <v>167</v>
      </c>
      <c r="B6" s="66" t="s">
        <v>168</v>
      </c>
      <c r="C6" s="66"/>
      <c r="D6" s="66"/>
      <c r="E6" s="66"/>
      <c r="F6" s="66"/>
    </row>
    <row r="7" customFormat="false" ht="21.75" hidden="false" customHeight="true" outlineLevel="0" collapsed="false">
      <c r="A7" s="4" t="s">
        <v>146</v>
      </c>
      <c r="B7" s="4" t="s">
        <v>119</v>
      </c>
      <c r="C7" s="4" t="s">
        <v>120</v>
      </c>
      <c r="D7" s="4" t="s">
        <v>122</v>
      </c>
      <c r="E7" s="4" t="s">
        <v>169</v>
      </c>
      <c r="F7" s="4" t="s">
        <v>170</v>
      </c>
    </row>
    <row r="8" customFormat="false" ht="15" hidden="false" customHeight="false" outlineLevel="0" collapsed="false">
      <c r="A8" s="31" t="s">
        <v>171</v>
      </c>
      <c r="B8" s="67" t="s">
        <v>172</v>
      </c>
      <c r="C8" s="68" t="str">
        <f aca="false">VLOOKUP(B8,단가표!$B$5:$G$22,3,FALSE())</f>
        <v>CPU (입력 14 / 출력 10)</v>
      </c>
      <c r="D8" s="31" t="n">
        <v>1</v>
      </c>
      <c r="E8" s="9" t="n">
        <f aca="false">VLOOKUP(B8,단가표!$B$5:$G$22,6,FALSE())</f>
        <v>392850</v>
      </c>
      <c r="F8" s="9" t="n">
        <f aca="false">D8*E8</f>
        <v>392850</v>
      </c>
    </row>
    <row r="9" customFormat="false" ht="15" hidden="false" customHeight="false" outlineLevel="0" collapsed="false">
      <c r="A9" s="69" t="s">
        <v>173</v>
      </c>
      <c r="B9" s="69"/>
      <c r="C9" s="69"/>
      <c r="D9" s="69"/>
      <c r="E9" s="69"/>
      <c r="F9" s="70" t="n">
        <f aca="false">SUM(F8:F8)</f>
        <v>392850</v>
      </c>
    </row>
    <row r="10" customFormat="false" ht="15" hidden="false" customHeight="false" outlineLevel="0" collapsed="false">
      <c r="A10" s="31" t="s">
        <v>156</v>
      </c>
      <c r="B10" s="67" t="s">
        <v>174</v>
      </c>
      <c r="C10" s="68" t="str">
        <f aca="false">VLOOKUP(B10,단가표!$B$5:$G$22,3,FALSE())</f>
        <v>CPU (입력 14 / 출력 10 = 릴레이 6 + TR 4)</v>
      </c>
      <c r="D10" s="31" t="n">
        <v>1</v>
      </c>
      <c r="E10" s="9" t="n">
        <f aca="false">VLOOKUP(B10,단가표!$B$5:$G$22,6,FALSE())</f>
        <v>384750</v>
      </c>
      <c r="F10" s="9" t="n">
        <f aca="false">D10*E10</f>
        <v>384750</v>
      </c>
    </row>
    <row r="11" customFormat="false" ht="15" hidden="false" customHeight="false" outlineLevel="0" collapsed="false">
      <c r="A11" s="69" t="s">
        <v>175</v>
      </c>
      <c r="B11" s="69"/>
      <c r="C11" s="69"/>
      <c r="D11" s="69"/>
      <c r="E11" s="69"/>
      <c r="F11" s="70" t="n">
        <f aca="false">SUM(F10:F10)</f>
        <v>384750</v>
      </c>
    </row>
    <row r="12" customFormat="false" ht="18" hidden="false" customHeight="true" outlineLevel="0" collapsed="false">
      <c r="A12" s="71" t="s">
        <v>176</v>
      </c>
      <c r="B12" s="71"/>
      <c r="C12" s="71"/>
      <c r="D12" s="71"/>
      <c r="E12" s="71"/>
      <c r="F12" s="71"/>
    </row>
    <row r="14" customFormat="false" ht="24" hidden="false" customHeight="true" outlineLevel="0" collapsed="false">
      <c r="A14" s="63" t="s">
        <v>13</v>
      </c>
      <c r="B14" s="63"/>
      <c r="C14" s="63"/>
      <c r="D14" s="63"/>
      <c r="E14" s="63"/>
      <c r="F14" s="63"/>
    </row>
    <row r="15" customFormat="false" ht="15" hidden="false" customHeight="true" outlineLevel="0" collapsed="false">
      <c r="A15" s="64" t="s">
        <v>166</v>
      </c>
      <c r="B15" s="65" t="s">
        <v>14</v>
      </c>
      <c r="C15" s="65"/>
      <c r="D15" s="65"/>
      <c r="E15" s="65"/>
      <c r="F15" s="65"/>
    </row>
    <row r="16" customFormat="false" ht="15" hidden="false" customHeight="true" outlineLevel="0" collapsed="false">
      <c r="A16" s="64" t="s">
        <v>167</v>
      </c>
      <c r="B16" s="66" t="s">
        <v>177</v>
      </c>
      <c r="C16" s="66"/>
      <c r="D16" s="66"/>
      <c r="E16" s="66"/>
      <c r="F16" s="66"/>
    </row>
    <row r="17" customFormat="false" ht="21.75" hidden="false" customHeight="true" outlineLevel="0" collapsed="false">
      <c r="A17" s="4" t="s">
        <v>146</v>
      </c>
      <c r="B17" s="4" t="s">
        <v>119</v>
      </c>
      <c r="C17" s="4" t="s">
        <v>120</v>
      </c>
      <c r="D17" s="4" t="s">
        <v>122</v>
      </c>
      <c r="E17" s="4" t="s">
        <v>169</v>
      </c>
      <c r="F17" s="4" t="s">
        <v>170</v>
      </c>
    </row>
    <row r="18" customFormat="false" ht="15" hidden="false" customHeight="false" outlineLevel="0" collapsed="false">
      <c r="A18" s="31" t="s">
        <v>171</v>
      </c>
      <c r="B18" s="67" t="s">
        <v>178</v>
      </c>
      <c r="C18" s="68" t="str">
        <f aca="false">VLOOKUP(B18,단가표!$B$5:$G$22,3,FALSE())</f>
        <v>CPU (입력 24 / 출력 16)</v>
      </c>
      <c r="D18" s="31" t="n">
        <v>1</v>
      </c>
      <c r="E18" s="9" t="n">
        <f aca="false">VLOOKUP(B18,단가표!$B$5:$G$22,6,FALSE())</f>
        <v>417600</v>
      </c>
      <c r="F18" s="9" t="n">
        <f aca="false">D18*E18</f>
        <v>417600</v>
      </c>
    </row>
    <row r="19" customFormat="false" ht="15" hidden="false" customHeight="false" outlineLevel="0" collapsed="false">
      <c r="A19" s="69" t="s">
        <v>173</v>
      </c>
      <c r="B19" s="69"/>
      <c r="C19" s="69"/>
      <c r="D19" s="69"/>
      <c r="E19" s="69"/>
      <c r="F19" s="70" t="n">
        <f aca="false">SUM(F18:F18)</f>
        <v>417600</v>
      </c>
    </row>
    <row r="20" customFormat="false" ht="15" hidden="false" customHeight="false" outlineLevel="0" collapsed="false">
      <c r="A20" s="31" t="s">
        <v>156</v>
      </c>
      <c r="B20" s="67" t="s">
        <v>179</v>
      </c>
      <c r="C20" s="68" t="str">
        <f aca="false">VLOOKUP(B20,단가표!$B$5:$G$22,3,FALSE())</f>
        <v>CPU (입력 24 / 출력 16 = 릴레이 12 + TR 4)</v>
      </c>
      <c r="D20" s="31" t="n">
        <v>1</v>
      </c>
      <c r="E20" s="9" t="n">
        <f aca="false">VLOOKUP(B20,단가표!$B$5:$G$22,6,FALSE())</f>
        <v>406350</v>
      </c>
      <c r="F20" s="9" t="n">
        <f aca="false">D20*E20</f>
        <v>406350</v>
      </c>
    </row>
    <row r="21" customFormat="false" ht="15" hidden="false" customHeight="false" outlineLevel="0" collapsed="false">
      <c r="A21" s="69" t="s">
        <v>175</v>
      </c>
      <c r="B21" s="69"/>
      <c r="C21" s="69"/>
      <c r="D21" s="69"/>
      <c r="E21" s="69"/>
      <c r="F21" s="70" t="n">
        <f aca="false">SUM(F20:F20)</f>
        <v>406350</v>
      </c>
    </row>
    <row r="22" customFormat="false" ht="30" hidden="false" customHeight="true" outlineLevel="0" collapsed="false">
      <c r="A22" s="72" t="s">
        <v>180</v>
      </c>
      <c r="B22" s="72"/>
      <c r="C22" s="72"/>
      <c r="D22" s="72"/>
      <c r="E22" s="72"/>
      <c r="F22" s="72"/>
    </row>
    <row r="24" customFormat="false" ht="24" hidden="false" customHeight="true" outlineLevel="0" collapsed="false">
      <c r="A24" s="63" t="s">
        <v>15</v>
      </c>
      <c r="B24" s="63"/>
      <c r="C24" s="63"/>
      <c r="D24" s="63"/>
      <c r="E24" s="63"/>
      <c r="F24" s="63"/>
    </row>
    <row r="25" customFormat="false" ht="15" hidden="false" customHeight="true" outlineLevel="0" collapsed="false">
      <c r="A25" s="64" t="s">
        <v>166</v>
      </c>
      <c r="B25" s="65" t="s">
        <v>16</v>
      </c>
      <c r="C25" s="65"/>
      <c r="D25" s="65"/>
      <c r="E25" s="65"/>
      <c r="F25" s="65"/>
    </row>
    <row r="26" customFormat="false" ht="15" hidden="false" customHeight="true" outlineLevel="0" collapsed="false">
      <c r="A26" s="64" t="s">
        <v>167</v>
      </c>
      <c r="B26" s="66" t="s">
        <v>181</v>
      </c>
      <c r="C26" s="66"/>
      <c r="D26" s="66"/>
      <c r="E26" s="66"/>
      <c r="F26" s="66"/>
    </row>
    <row r="27" customFormat="false" ht="21.75" hidden="false" customHeight="true" outlineLevel="0" collapsed="false">
      <c r="A27" s="4" t="s">
        <v>146</v>
      </c>
      <c r="B27" s="4" t="s">
        <v>119</v>
      </c>
      <c r="C27" s="4" t="s">
        <v>120</v>
      </c>
      <c r="D27" s="4" t="s">
        <v>122</v>
      </c>
      <c r="E27" s="4" t="s">
        <v>169</v>
      </c>
      <c r="F27" s="4" t="s">
        <v>170</v>
      </c>
    </row>
    <row r="28" customFormat="false" ht="15" hidden="false" customHeight="true" outlineLevel="0" collapsed="false">
      <c r="A28" s="31" t="s">
        <v>171</v>
      </c>
      <c r="B28" s="67" t="s">
        <v>172</v>
      </c>
      <c r="C28" s="68" t="str">
        <f aca="false">VLOOKUP(B28,단가표!$B$5:$G$22,3,FALSE())</f>
        <v>CPU (입력 14 / 출력 10)</v>
      </c>
      <c r="D28" s="31" t="n">
        <v>1</v>
      </c>
      <c r="E28" s="9" t="n">
        <f aca="false">VLOOKUP(B28,단가표!$B$5:$G$22,6,FALSE())</f>
        <v>392850</v>
      </c>
      <c r="F28" s="9" t="n">
        <f aca="false">D28*E28</f>
        <v>392850</v>
      </c>
    </row>
    <row r="29" customFormat="false" ht="15" hidden="false" customHeight="false" outlineLevel="0" collapsed="false">
      <c r="A29" s="31"/>
      <c r="B29" s="67" t="s">
        <v>182</v>
      </c>
      <c r="C29" s="68" t="str">
        <f aca="false">VLOOKUP(B29,단가표!$B$5:$G$22,3,FALSE())</f>
        <v>아날로그 출력 2CH</v>
      </c>
      <c r="D29" s="31" t="n">
        <v>1</v>
      </c>
      <c r="E29" s="9" t="n">
        <f aca="false">VLOOKUP(B29,단가표!$B$5:$G$22,6,FALSE())</f>
        <v>138400</v>
      </c>
      <c r="F29" s="9" t="n">
        <f aca="false">D29*E29</f>
        <v>138400</v>
      </c>
    </row>
    <row r="30" customFormat="false" ht="15" hidden="false" customHeight="false" outlineLevel="0" collapsed="false">
      <c r="A30" s="69" t="s">
        <v>173</v>
      </c>
      <c r="B30" s="69"/>
      <c r="C30" s="69"/>
      <c r="D30" s="69"/>
      <c r="E30" s="69"/>
      <c r="F30" s="70" t="n">
        <f aca="false">SUM(F28:F29)</f>
        <v>531250</v>
      </c>
    </row>
    <row r="31" customFormat="false" ht="15" hidden="false" customHeight="true" outlineLevel="0" collapsed="false">
      <c r="A31" s="31" t="s">
        <v>156</v>
      </c>
      <c r="B31" s="67" t="s">
        <v>174</v>
      </c>
      <c r="C31" s="68" t="str">
        <f aca="false">VLOOKUP(B31,단가표!$B$5:$G$22,3,FALSE())</f>
        <v>CPU (입력 14 / 출력 10 = 릴레이 6 + TR 4)</v>
      </c>
      <c r="D31" s="31" t="n">
        <v>1</v>
      </c>
      <c r="E31" s="9" t="n">
        <f aca="false">VLOOKUP(B31,단가표!$B$5:$G$22,6,FALSE())</f>
        <v>384750</v>
      </c>
      <c r="F31" s="9" t="n">
        <f aca="false">D31*E31</f>
        <v>384750</v>
      </c>
    </row>
    <row r="32" customFormat="false" ht="15" hidden="false" customHeight="false" outlineLevel="0" collapsed="false">
      <c r="A32" s="31"/>
      <c r="B32" s="67" t="s">
        <v>182</v>
      </c>
      <c r="C32" s="68" t="str">
        <f aca="false">VLOOKUP(B32,단가표!$B$5:$G$22,3,FALSE())</f>
        <v>아날로그 출력 2CH</v>
      </c>
      <c r="D32" s="31" t="n">
        <v>1</v>
      </c>
      <c r="E32" s="9" t="n">
        <f aca="false">VLOOKUP(B32,단가표!$B$5:$G$22,6,FALSE())</f>
        <v>138400</v>
      </c>
      <c r="F32" s="9" t="n">
        <f aca="false">D32*E32</f>
        <v>138400</v>
      </c>
    </row>
    <row r="33" customFormat="false" ht="15" hidden="false" customHeight="false" outlineLevel="0" collapsed="false">
      <c r="A33" s="69" t="s">
        <v>175</v>
      </c>
      <c r="B33" s="69"/>
      <c r="C33" s="69"/>
      <c r="D33" s="69"/>
      <c r="E33" s="69"/>
      <c r="F33" s="70" t="n">
        <f aca="false">SUM(F31:F32)</f>
        <v>523150</v>
      </c>
    </row>
    <row r="34" customFormat="false" ht="18" hidden="false" customHeight="true" outlineLevel="0" collapsed="false">
      <c r="A34" s="71" t="s">
        <v>183</v>
      </c>
      <c r="B34" s="71"/>
      <c r="C34" s="71"/>
      <c r="D34" s="71"/>
      <c r="E34" s="71"/>
      <c r="F34" s="71"/>
    </row>
    <row r="36" customFormat="false" ht="24" hidden="false" customHeight="true" outlineLevel="0" collapsed="false">
      <c r="A36" s="63" t="s">
        <v>17</v>
      </c>
      <c r="B36" s="63"/>
      <c r="C36" s="63"/>
      <c r="D36" s="63"/>
      <c r="E36" s="63"/>
      <c r="F36" s="63"/>
    </row>
    <row r="37" customFormat="false" ht="15" hidden="false" customHeight="true" outlineLevel="0" collapsed="false">
      <c r="A37" s="64" t="s">
        <v>166</v>
      </c>
      <c r="B37" s="65" t="s">
        <v>18</v>
      </c>
      <c r="C37" s="65"/>
      <c r="D37" s="65"/>
      <c r="E37" s="65"/>
      <c r="F37" s="65"/>
    </row>
    <row r="38" customFormat="false" ht="15" hidden="false" customHeight="true" outlineLevel="0" collapsed="false">
      <c r="A38" s="64" t="s">
        <v>167</v>
      </c>
      <c r="B38" s="66" t="s">
        <v>184</v>
      </c>
      <c r="C38" s="66"/>
      <c r="D38" s="66"/>
      <c r="E38" s="66"/>
      <c r="F38" s="66"/>
    </row>
    <row r="39" customFormat="false" ht="21.75" hidden="false" customHeight="true" outlineLevel="0" collapsed="false">
      <c r="A39" s="4" t="s">
        <v>146</v>
      </c>
      <c r="B39" s="4" t="s">
        <v>119</v>
      </c>
      <c r="C39" s="4" t="s">
        <v>120</v>
      </c>
      <c r="D39" s="4" t="s">
        <v>122</v>
      </c>
      <c r="E39" s="4" t="s">
        <v>169</v>
      </c>
      <c r="F39" s="4" t="s">
        <v>170</v>
      </c>
    </row>
    <row r="40" customFormat="false" ht="15" hidden="false" customHeight="true" outlineLevel="0" collapsed="false">
      <c r="A40" s="31" t="s">
        <v>185</v>
      </c>
      <c r="B40" s="67" t="s">
        <v>123</v>
      </c>
      <c r="C40" s="68" t="str">
        <f aca="false">VLOOKUP(B40,단가표!$B$5:$G$22,3,FALSE())</f>
        <v>CPU + 이더넷 (입력 14 / 출력 10)</v>
      </c>
      <c r="D40" s="31" t="n">
        <v>1</v>
      </c>
      <c r="E40" s="9" t="n">
        <f aca="false">VLOOKUP(B40,단가표!$B$5:$G$22,6,FALSE())</f>
        <v>398700</v>
      </c>
      <c r="F40" s="9" t="n">
        <f aca="false">D40*E40</f>
        <v>398700</v>
      </c>
    </row>
    <row r="41" customFormat="false" ht="15" hidden="false" customHeight="false" outlineLevel="0" collapsed="false">
      <c r="A41" s="31"/>
      <c r="B41" s="67" t="s">
        <v>126</v>
      </c>
      <c r="C41" s="68" t="str">
        <f aca="false">VLOOKUP(B41,단가표!$B$5:$G$22,3,FALSE())</f>
        <v>디지털 입력 16점</v>
      </c>
      <c r="D41" s="31" t="n">
        <v>6</v>
      </c>
      <c r="E41" s="9" t="n">
        <f aca="false">VLOOKUP(B41,단가표!$B$5:$G$22,6,FALSE())</f>
        <v>91200</v>
      </c>
      <c r="F41" s="9" t="n">
        <f aca="false">D41*E41</f>
        <v>547200</v>
      </c>
    </row>
    <row r="42" customFormat="false" ht="15" hidden="false" customHeight="false" outlineLevel="0" collapsed="false">
      <c r="A42" s="31"/>
      <c r="B42" s="67" t="s">
        <v>129</v>
      </c>
      <c r="C42" s="68" t="str">
        <f aca="false">VLOOKUP(B42,단가표!$B$5:$G$22,3,FALSE())</f>
        <v>릴레이 출력 16점</v>
      </c>
      <c r="D42" s="31" t="n">
        <v>4</v>
      </c>
      <c r="E42" s="9" t="n">
        <f aca="false">VLOOKUP(B42,단가표!$B$5:$G$22,6,FALSE())</f>
        <v>90800</v>
      </c>
      <c r="F42" s="9" t="n">
        <f aca="false">D42*E42</f>
        <v>363200</v>
      </c>
    </row>
    <row r="43" customFormat="false" ht="15" hidden="false" customHeight="false" outlineLevel="0" collapsed="false">
      <c r="A43" s="31"/>
      <c r="B43" s="67" t="s">
        <v>132</v>
      </c>
      <c r="C43" s="68" t="str">
        <f aca="false">VLOOKUP(B43,단가표!$B$5:$G$22,3,FALSE())</f>
        <v>아날로그 출력 4CH</v>
      </c>
      <c r="D43" s="31" t="n">
        <v>1</v>
      </c>
      <c r="E43" s="9" t="n">
        <f aca="false">VLOOKUP(B43,단가표!$B$5:$G$22,6,FALSE())</f>
        <v>140400</v>
      </c>
      <c r="F43" s="9" t="n">
        <f aca="false">D43*E43</f>
        <v>140400</v>
      </c>
    </row>
    <row r="44" customFormat="false" ht="15" hidden="false" customHeight="false" outlineLevel="0" collapsed="false">
      <c r="A44" s="69" t="s">
        <v>173</v>
      </c>
      <c r="B44" s="69"/>
      <c r="C44" s="69"/>
      <c r="D44" s="69"/>
      <c r="E44" s="69"/>
      <c r="F44" s="70" t="n">
        <f aca="false">SUM(F40:F43)</f>
        <v>1449500</v>
      </c>
    </row>
    <row r="45" customFormat="false" ht="30" hidden="false" customHeight="true" outlineLevel="0" collapsed="false">
      <c r="A45" s="72" t="s">
        <v>186</v>
      </c>
      <c r="B45" s="72"/>
      <c r="C45" s="72"/>
      <c r="D45" s="72"/>
      <c r="E45" s="72"/>
      <c r="F45" s="72"/>
    </row>
  </sheetData>
  <mergeCells count="26">
    <mergeCell ref="A4:F4"/>
    <mergeCell ref="B5:F5"/>
    <mergeCell ref="B6:F6"/>
    <mergeCell ref="A9:E9"/>
    <mergeCell ref="A11:E11"/>
    <mergeCell ref="A12:F12"/>
    <mergeCell ref="A14:F14"/>
    <mergeCell ref="B15:F15"/>
    <mergeCell ref="B16:F16"/>
    <mergeCell ref="A19:E19"/>
    <mergeCell ref="A21:E21"/>
    <mergeCell ref="A22:F22"/>
    <mergeCell ref="A24:F24"/>
    <mergeCell ref="B25:F25"/>
    <mergeCell ref="B26:F26"/>
    <mergeCell ref="A28:A29"/>
    <mergeCell ref="A30:E30"/>
    <mergeCell ref="A31:A32"/>
    <mergeCell ref="A33:E33"/>
    <mergeCell ref="A34:F34"/>
    <mergeCell ref="A36:F36"/>
    <mergeCell ref="B37:F37"/>
    <mergeCell ref="B38:F38"/>
    <mergeCell ref="A40:A43"/>
    <mergeCell ref="A44:E44"/>
    <mergeCell ref="A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5" min="4" style="0" width="13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9" min="9" style="0" width="20"/>
  </cols>
  <sheetData>
    <row r="1" customFormat="false" ht="19.4" hidden="false" customHeight="false" outlineLevel="0" collapsed="false">
      <c r="A1" s="26" t="s">
        <v>187</v>
      </c>
    </row>
    <row r="3" customFormat="false" ht="15" hidden="false" customHeight="false" outlineLevel="0" collapsed="false">
      <c r="A3" s="64" t="s">
        <v>188</v>
      </c>
      <c r="B3" s="73" t="n">
        <v>0.45</v>
      </c>
    </row>
    <row r="4" customFormat="false" ht="15" hidden="false" customHeight="false" outlineLevel="0" collapsed="false">
      <c r="A4" s="64" t="s">
        <v>189</v>
      </c>
      <c r="B4" s="73" t="n">
        <v>0.4</v>
      </c>
      <c r="C4" s="2" t="s">
        <v>190</v>
      </c>
    </row>
    <row r="6" customFormat="false" ht="33.75" hidden="false" customHeight="true" outlineLevel="0" collapsed="false">
      <c r="A6" s="5" t="s">
        <v>191</v>
      </c>
      <c r="B6" s="4" t="s">
        <v>146</v>
      </c>
      <c r="C6" s="4" t="s">
        <v>192</v>
      </c>
      <c r="D6" s="4" t="s">
        <v>193</v>
      </c>
      <c r="E6" s="4" t="s">
        <v>194</v>
      </c>
      <c r="F6" s="5" t="s">
        <v>195</v>
      </c>
      <c r="G6" s="4" t="s">
        <v>147</v>
      </c>
      <c r="H6" s="4" t="s">
        <v>196</v>
      </c>
    </row>
    <row r="7" customFormat="false" ht="15" hidden="false" customHeight="false" outlineLevel="0" collapsed="false">
      <c r="A7" s="67" t="s">
        <v>172</v>
      </c>
      <c r="B7" s="31" t="s">
        <v>197</v>
      </c>
      <c r="C7" s="9" t="n">
        <f aca="false">VLOOKUP(A7,단가표!$B$5:$G$22,4,FALSE())</f>
        <v>873000</v>
      </c>
      <c r="D7" s="9" t="n">
        <f aca="false">ROUND(C7*$B$3,0)</f>
        <v>392850</v>
      </c>
      <c r="E7" s="9" t="n">
        <f aca="false">ROUND(C7*$B$4,0)</f>
        <v>349200</v>
      </c>
      <c r="F7" s="74" t="n">
        <f aca="false">D7-E7</f>
        <v>43650</v>
      </c>
      <c r="G7" s="47" t="n">
        <f aca="false">요약!C6+요약!C8</f>
        <v>250</v>
      </c>
      <c r="H7" s="10" t="n">
        <f aca="false">F7*G7</f>
        <v>10912500</v>
      </c>
      <c r="I7" s="75" t="s">
        <v>198</v>
      </c>
    </row>
    <row r="8" customFormat="false" ht="15" hidden="false" customHeight="false" outlineLevel="0" collapsed="false">
      <c r="A8" s="67" t="s">
        <v>178</v>
      </c>
      <c r="B8" s="31" t="s">
        <v>197</v>
      </c>
      <c r="C8" s="9" t="n">
        <f aca="false">VLOOKUP(A8,단가표!$B$5:$G$22,4,FALSE())</f>
        <v>928000</v>
      </c>
      <c r="D8" s="9" t="n">
        <f aca="false">ROUND(C8*$B$3,0)</f>
        <v>417600</v>
      </c>
      <c r="E8" s="9" t="n">
        <f aca="false">ROUND(C8*$B$4,0)</f>
        <v>371200</v>
      </c>
      <c r="F8" s="74" t="n">
        <f aca="false">D8-E8</f>
        <v>46400</v>
      </c>
      <c r="G8" s="47" t="n">
        <f aca="false">요약!C7</f>
        <v>300</v>
      </c>
      <c r="H8" s="10" t="n">
        <f aca="false">F8*G8</f>
        <v>13920000</v>
      </c>
      <c r="I8" s="75" t="s">
        <v>199</v>
      </c>
    </row>
    <row r="9" customFormat="false" ht="15" hidden="false" customHeight="false" outlineLevel="0" collapsed="false">
      <c r="A9" s="67" t="s">
        <v>123</v>
      </c>
      <c r="B9" s="31" t="s">
        <v>197</v>
      </c>
      <c r="C9" s="9" t="n">
        <f aca="false">VLOOKUP(A9,단가표!$B$5:$G$22,4,FALSE())</f>
        <v>886000</v>
      </c>
      <c r="D9" s="9" t="n">
        <f aca="false">ROUND(C9*$B$3,0)</f>
        <v>398700</v>
      </c>
      <c r="E9" s="9" t="n">
        <f aca="false">ROUND(C9*$B$4,0)</f>
        <v>354400</v>
      </c>
      <c r="F9" s="74" t="n">
        <f aca="false">D9-E9</f>
        <v>44300</v>
      </c>
      <c r="G9" s="47" t="n">
        <f aca="false">요약!C9</f>
        <v>100</v>
      </c>
      <c r="H9" s="10" t="n">
        <f aca="false">F9*G9</f>
        <v>4430000</v>
      </c>
      <c r="I9" s="75" t="s">
        <v>17</v>
      </c>
    </row>
    <row r="10" customFormat="false" ht="15" hidden="false" customHeight="false" outlineLevel="0" collapsed="false">
      <c r="A10" s="67" t="s">
        <v>174</v>
      </c>
      <c r="B10" s="31" t="s">
        <v>200</v>
      </c>
      <c r="C10" s="9" t="n">
        <f aca="false">VLOOKUP(A10,단가표!$B$5:$G$22,4,FALSE())</f>
        <v>855000</v>
      </c>
      <c r="D10" s="9" t="n">
        <f aca="false">ROUND(C10*$B$3,0)</f>
        <v>384750</v>
      </c>
      <c r="E10" s="9" t="n">
        <f aca="false">ROUND(C10*$B$4,0)</f>
        <v>342000</v>
      </c>
      <c r="F10" s="74" t="n">
        <f aca="false">D10-E10</f>
        <v>42750</v>
      </c>
      <c r="G10" s="47" t="n">
        <f aca="false">요약!C6+요약!C8</f>
        <v>250</v>
      </c>
      <c r="H10" s="10" t="n">
        <f aca="false">F10*G10</f>
        <v>10687500</v>
      </c>
      <c r="I10" s="75" t="s">
        <v>201</v>
      </c>
    </row>
    <row r="11" customFormat="false" ht="15" hidden="false" customHeight="false" outlineLevel="0" collapsed="false">
      <c r="A11" s="67" t="s">
        <v>179</v>
      </c>
      <c r="B11" s="31" t="s">
        <v>200</v>
      </c>
      <c r="C11" s="9" t="n">
        <f aca="false">VLOOKUP(A11,단가표!$B$5:$G$22,4,FALSE())</f>
        <v>903000</v>
      </c>
      <c r="D11" s="9" t="n">
        <f aca="false">ROUND(C11*$B$3,0)</f>
        <v>406350</v>
      </c>
      <c r="E11" s="9" t="n">
        <f aca="false">ROUND(C11*$B$4,0)</f>
        <v>361200</v>
      </c>
      <c r="F11" s="74" t="n">
        <f aca="false">D11-E11</f>
        <v>45150</v>
      </c>
      <c r="G11" s="47" t="n">
        <f aca="false">요약!C7</f>
        <v>300</v>
      </c>
      <c r="H11" s="10" t="n">
        <f aca="false">F11*G11</f>
        <v>13545000</v>
      </c>
      <c r="I11" s="75" t="s">
        <v>202</v>
      </c>
    </row>
    <row r="13" customFormat="false" ht="24" hidden="false" customHeight="true" outlineLevel="0" collapsed="false">
      <c r="A13" s="59" t="s">
        <v>203</v>
      </c>
      <c r="B13" s="59"/>
      <c r="C13" s="59"/>
      <c r="D13" s="59"/>
      <c r="E13" s="59"/>
      <c r="F13" s="59"/>
      <c r="G13" s="59"/>
      <c r="H13" s="16" t="n">
        <f aca="false">H7+H8+H9</f>
        <v>29262500</v>
      </c>
    </row>
    <row r="14" customFormat="false" ht="24" hidden="false" customHeight="true" outlineLevel="0" collapsed="false">
      <c r="A14" s="59" t="s">
        <v>204</v>
      </c>
      <c r="B14" s="59"/>
      <c r="C14" s="59"/>
      <c r="D14" s="59"/>
      <c r="E14" s="59"/>
      <c r="F14" s="59"/>
      <c r="G14" s="59"/>
      <c r="H14" s="16" t="n">
        <f aca="false">H9+H10+H11</f>
        <v>28662500</v>
      </c>
    </row>
    <row r="16" customFormat="false" ht="15" hidden="false" customHeight="false" outlineLevel="0" collapsed="false">
      <c r="A16" s="62" t="s">
        <v>205</v>
      </c>
    </row>
  </sheetData>
  <mergeCells count="2">
    <mergeCell ref="A13:G13"/>
    <mergeCell ref="A14:G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2"/>
  </cols>
  <sheetData>
    <row r="1" customFormat="false" ht="19.4" hidden="false" customHeight="false" outlineLevel="0" collapsed="false">
      <c r="A1" s="46" t="s">
        <v>206</v>
      </c>
    </row>
    <row r="2" customFormat="false" ht="15" hidden="false" customHeight="false" outlineLevel="0" collapsed="false">
      <c r="A2" s="2" t="s">
        <v>207</v>
      </c>
    </row>
    <row r="4" customFormat="false" ht="30" hidden="false" customHeight="true" outlineLevel="0" collapsed="false">
      <c r="A4" s="5" t="s">
        <v>34</v>
      </c>
      <c r="B4" s="4" t="s">
        <v>119</v>
      </c>
      <c r="C4" s="4" t="s">
        <v>146</v>
      </c>
      <c r="D4" s="4" t="s">
        <v>120</v>
      </c>
      <c r="E4" s="4" t="s">
        <v>192</v>
      </c>
      <c r="F4" s="4" t="s">
        <v>208</v>
      </c>
      <c r="G4" s="4" t="s">
        <v>209</v>
      </c>
    </row>
    <row r="5" customFormat="false" ht="15" hidden="false" customHeight="false" outlineLevel="0" collapsed="false">
      <c r="A5" s="31" t="n">
        <v>1</v>
      </c>
      <c r="B5" s="67" t="s">
        <v>123</v>
      </c>
      <c r="C5" s="31" t="s">
        <v>197</v>
      </c>
      <c r="D5" s="76" t="s">
        <v>210</v>
      </c>
      <c r="E5" s="9" t="n">
        <v>886000</v>
      </c>
      <c r="F5" s="77" t="n">
        <v>0.45</v>
      </c>
      <c r="G5" s="10" t="n">
        <f aca="false">ROUND(E5*F5,0)</f>
        <v>398700</v>
      </c>
    </row>
    <row r="6" customFormat="false" ht="15" hidden="false" customHeight="false" outlineLevel="0" collapsed="false">
      <c r="A6" s="31" t="n">
        <v>2</v>
      </c>
      <c r="B6" s="67" t="s">
        <v>172</v>
      </c>
      <c r="C6" s="31" t="s">
        <v>197</v>
      </c>
      <c r="D6" s="76" t="s">
        <v>211</v>
      </c>
      <c r="E6" s="9" t="n">
        <v>873000</v>
      </c>
      <c r="F6" s="77" t="n">
        <v>0.45</v>
      </c>
      <c r="G6" s="10" t="n">
        <f aca="false">ROUND(E6*F6,0)</f>
        <v>392850</v>
      </c>
    </row>
    <row r="7" customFormat="false" ht="15" hidden="false" customHeight="false" outlineLevel="0" collapsed="false">
      <c r="A7" s="31" t="n">
        <v>3</v>
      </c>
      <c r="B7" s="67" t="s">
        <v>174</v>
      </c>
      <c r="C7" s="31" t="s">
        <v>200</v>
      </c>
      <c r="D7" s="76" t="s">
        <v>212</v>
      </c>
      <c r="E7" s="9" t="n">
        <v>855000</v>
      </c>
      <c r="F7" s="77" t="n">
        <v>0.45</v>
      </c>
      <c r="G7" s="10" t="n">
        <f aca="false">ROUND(E7*F7,0)</f>
        <v>384750</v>
      </c>
    </row>
    <row r="8" customFormat="false" ht="15" hidden="false" customHeight="false" outlineLevel="0" collapsed="false">
      <c r="A8" s="31" t="n">
        <v>4</v>
      </c>
      <c r="B8" s="67" t="s">
        <v>178</v>
      </c>
      <c r="C8" s="31" t="s">
        <v>197</v>
      </c>
      <c r="D8" s="76" t="s">
        <v>213</v>
      </c>
      <c r="E8" s="9" t="n">
        <v>928000</v>
      </c>
      <c r="F8" s="77" t="n">
        <v>0.45</v>
      </c>
      <c r="G8" s="10" t="n">
        <f aca="false">ROUND(E8*F8,0)</f>
        <v>417600</v>
      </c>
    </row>
    <row r="9" customFormat="false" ht="15" hidden="false" customHeight="false" outlineLevel="0" collapsed="false">
      <c r="A9" s="31" t="n">
        <v>5</v>
      </c>
      <c r="B9" s="67" t="s">
        <v>179</v>
      </c>
      <c r="C9" s="31" t="s">
        <v>200</v>
      </c>
      <c r="D9" s="76" t="s">
        <v>214</v>
      </c>
      <c r="E9" s="9" t="n">
        <v>903000</v>
      </c>
      <c r="F9" s="77" t="n">
        <v>0.45</v>
      </c>
      <c r="G9" s="10" t="n">
        <f aca="false">ROUND(E9*F9,0)</f>
        <v>406350</v>
      </c>
    </row>
    <row r="10" customFormat="false" ht="15" hidden="false" customHeight="false" outlineLevel="0" collapsed="false">
      <c r="A10" s="31" t="n">
        <v>6</v>
      </c>
      <c r="B10" s="67" t="s">
        <v>126</v>
      </c>
      <c r="C10" s="31" t="s">
        <v>215</v>
      </c>
      <c r="D10" s="78" t="s">
        <v>216</v>
      </c>
      <c r="E10" s="9" t="n">
        <v>228000</v>
      </c>
      <c r="F10" s="77" t="n">
        <v>0.4</v>
      </c>
      <c r="G10" s="10" t="n">
        <f aca="false">ROUND(E10*F10,0)</f>
        <v>91200</v>
      </c>
    </row>
    <row r="11" customFormat="false" ht="15" hidden="false" customHeight="false" outlineLevel="0" collapsed="false">
      <c r="A11" s="31" t="n">
        <v>7</v>
      </c>
      <c r="B11" s="67" t="s">
        <v>217</v>
      </c>
      <c r="C11" s="31" t="s">
        <v>215</v>
      </c>
      <c r="D11" s="78" t="s">
        <v>218</v>
      </c>
      <c r="E11" s="9" t="n">
        <v>202000</v>
      </c>
      <c r="F11" s="77" t="n">
        <v>0.4</v>
      </c>
      <c r="G11" s="10" t="n">
        <f aca="false">ROUND(E11*F11,0)</f>
        <v>80800</v>
      </c>
    </row>
    <row r="12" customFormat="false" ht="15" hidden="false" customHeight="false" outlineLevel="0" collapsed="false">
      <c r="A12" s="31" t="n">
        <v>8</v>
      </c>
      <c r="B12" s="67" t="s">
        <v>129</v>
      </c>
      <c r="C12" s="31" t="s">
        <v>215</v>
      </c>
      <c r="D12" s="78" t="s">
        <v>219</v>
      </c>
      <c r="E12" s="9" t="n">
        <v>227000</v>
      </c>
      <c r="F12" s="77" t="n">
        <v>0.4</v>
      </c>
      <c r="G12" s="10" t="n">
        <f aca="false">ROUND(E12*F12,0)</f>
        <v>90800</v>
      </c>
    </row>
    <row r="13" customFormat="false" ht="15" hidden="false" customHeight="false" outlineLevel="0" collapsed="false">
      <c r="A13" s="31" t="n">
        <v>9</v>
      </c>
      <c r="B13" s="67" t="s">
        <v>220</v>
      </c>
      <c r="C13" s="31" t="s">
        <v>215</v>
      </c>
      <c r="D13" s="78" t="s">
        <v>221</v>
      </c>
      <c r="E13" s="9" t="n">
        <v>227000</v>
      </c>
      <c r="F13" s="77" t="n">
        <v>0.4</v>
      </c>
      <c r="G13" s="10" t="n">
        <f aca="false">ROUND(E13*F13,0)</f>
        <v>90800</v>
      </c>
    </row>
    <row r="14" customFormat="false" ht="15" hidden="false" customHeight="false" outlineLevel="0" collapsed="false">
      <c r="A14" s="31" t="n">
        <v>10</v>
      </c>
      <c r="B14" s="67" t="s">
        <v>222</v>
      </c>
      <c r="C14" s="31" t="s">
        <v>215</v>
      </c>
      <c r="D14" s="78" t="s">
        <v>223</v>
      </c>
      <c r="E14" s="9" t="n">
        <v>213000</v>
      </c>
      <c r="F14" s="77" t="n">
        <v>0.4</v>
      </c>
      <c r="G14" s="10" t="n">
        <f aca="false">ROUND(E14*F14,0)</f>
        <v>85200</v>
      </c>
    </row>
    <row r="15" customFormat="false" ht="15" hidden="false" customHeight="false" outlineLevel="0" collapsed="false">
      <c r="A15" s="31" t="n">
        <v>11</v>
      </c>
      <c r="B15" s="67" t="s">
        <v>224</v>
      </c>
      <c r="C15" s="31" t="s">
        <v>215</v>
      </c>
      <c r="D15" s="78" t="s">
        <v>225</v>
      </c>
      <c r="E15" s="9" t="n">
        <v>161000</v>
      </c>
      <c r="F15" s="77" t="n">
        <v>0.4</v>
      </c>
      <c r="G15" s="10" t="n">
        <f aca="false">ROUND(E15*F15,0)</f>
        <v>64400</v>
      </c>
    </row>
    <row r="16" customFormat="false" ht="15" hidden="false" customHeight="false" outlineLevel="0" collapsed="false">
      <c r="A16" s="31" t="n">
        <v>12</v>
      </c>
      <c r="B16" s="67" t="s">
        <v>226</v>
      </c>
      <c r="C16" s="31" t="s">
        <v>215</v>
      </c>
      <c r="D16" s="78" t="s">
        <v>227</v>
      </c>
      <c r="E16" s="9" t="n">
        <v>168000</v>
      </c>
      <c r="F16" s="77" t="n">
        <v>0.4</v>
      </c>
      <c r="G16" s="10" t="n">
        <f aca="false">ROUND(E16*F16,0)</f>
        <v>67200</v>
      </c>
    </row>
    <row r="17" customFormat="false" ht="15" hidden="false" customHeight="false" outlineLevel="0" collapsed="false">
      <c r="A17" s="31" t="n">
        <v>13</v>
      </c>
      <c r="B17" s="67" t="s">
        <v>228</v>
      </c>
      <c r="C17" s="31" t="s">
        <v>215</v>
      </c>
      <c r="D17" s="78" t="s">
        <v>229</v>
      </c>
      <c r="E17" s="9" t="n">
        <v>168000</v>
      </c>
      <c r="F17" s="77" t="n">
        <v>0.4</v>
      </c>
      <c r="G17" s="10" t="n">
        <f aca="false">ROUND(E17*F17,0)</f>
        <v>67200</v>
      </c>
    </row>
    <row r="18" customFormat="false" ht="15" hidden="false" customHeight="false" outlineLevel="0" collapsed="false">
      <c r="A18" s="31" t="n">
        <v>14</v>
      </c>
      <c r="B18" s="67" t="s">
        <v>230</v>
      </c>
      <c r="C18" s="31" t="s">
        <v>215</v>
      </c>
      <c r="D18" s="78" t="s">
        <v>231</v>
      </c>
      <c r="E18" s="9" t="n">
        <v>311000</v>
      </c>
      <c r="F18" s="77" t="n">
        <v>0.4</v>
      </c>
      <c r="G18" s="10" t="n">
        <f aca="false">ROUND(E18*F18,0)</f>
        <v>124400</v>
      </c>
    </row>
    <row r="19" customFormat="false" ht="15" hidden="false" customHeight="false" outlineLevel="0" collapsed="false">
      <c r="A19" s="31" t="n">
        <v>15</v>
      </c>
      <c r="B19" s="67" t="s">
        <v>232</v>
      </c>
      <c r="C19" s="31" t="s">
        <v>215</v>
      </c>
      <c r="D19" s="78" t="s">
        <v>233</v>
      </c>
      <c r="E19" s="9" t="n">
        <v>284000</v>
      </c>
      <c r="F19" s="77" t="n">
        <v>0.4</v>
      </c>
      <c r="G19" s="10" t="n">
        <f aca="false">ROUND(E19*F19,0)</f>
        <v>113600</v>
      </c>
    </row>
    <row r="20" customFormat="false" ht="15" hidden="false" customHeight="false" outlineLevel="0" collapsed="false">
      <c r="A20" s="31" t="n">
        <v>16</v>
      </c>
      <c r="B20" s="67" t="s">
        <v>234</v>
      </c>
      <c r="C20" s="31" t="s">
        <v>215</v>
      </c>
      <c r="D20" s="78" t="s">
        <v>235</v>
      </c>
      <c r="E20" s="9" t="n">
        <v>331000</v>
      </c>
      <c r="F20" s="77" t="n">
        <v>0.4</v>
      </c>
      <c r="G20" s="10" t="n">
        <f aca="false">ROUND(E20*F20,0)</f>
        <v>132400</v>
      </c>
    </row>
    <row r="21" customFormat="false" ht="15" hidden="false" customHeight="false" outlineLevel="0" collapsed="false">
      <c r="A21" s="31" t="n">
        <v>17</v>
      </c>
      <c r="B21" s="67" t="s">
        <v>182</v>
      </c>
      <c r="C21" s="31" t="s">
        <v>215</v>
      </c>
      <c r="D21" s="78" t="s">
        <v>236</v>
      </c>
      <c r="E21" s="9" t="n">
        <v>346000</v>
      </c>
      <c r="F21" s="77" t="n">
        <v>0.4</v>
      </c>
      <c r="G21" s="10" t="n">
        <f aca="false">ROUND(E21*F21,0)</f>
        <v>138400</v>
      </c>
    </row>
    <row r="22" customFormat="false" ht="15" hidden="false" customHeight="false" outlineLevel="0" collapsed="false">
      <c r="A22" s="31" t="n">
        <v>18</v>
      </c>
      <c r="B22" s="67" t="s">
        <v>132</v>
      </c>
      <c r="C22" s="31" t="s">
        <v>215</v>
      </c>
      <c r="D22" s="78" t="s">
        <v>237</v>
      </c>
      <c r="E22" s="9" t="n">
        <v>351000</v>
      </c>
      <c r="F22" s="77" t="n">
        <v>0.4</v>
      </c>
      <c r="G22" s="10" t="n">
        <f aca="false">ROUND(E22*F22,0)</f>
        <v>140400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2026-10-05T03:47:23Z</dcterms:created>
  <dc:creator>openpyxl</dc:creator>
  <dc:description/>
  <dc:language>en-US</dc:language>
  <cp:lastModifiedBy/>
  <dcterms:modified xsi:type="dcterms:W3CDTF">2026-10-05T03:47:23Z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