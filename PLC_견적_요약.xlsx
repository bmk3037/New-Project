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마진 계산" sheetId="2" state="visible" r:id="rId4"/>
    <sheet name="연간 BOM" sheetId="3" state="visible" r:id="rId5"/>
    <sheet name="Schneider 제안 검토" sheetId="4" state="visible" r:id="rId6"/>
    <sheet name="프로젝트별 구성" sheetId="5" state="visible" r:id="rId7"/>
    <sheet name="CPU 할인 효과" sheetId="6" state="visible" r:id="rId8"/>
    <sheet name="단가표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<sst xmlns="http://schemas.openxmlformats.org/spreadsheetml/2006/main" count="432" uniqueCount="253">
  <si>
    <r>
      <rPr>
        <b val="true"/>
        <sz val="16"/>
        <color rgb="FF1F3864"/>
        <rFont val="맑은 고딕"/>
        <family val="0"/>
        <charset val="1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요약  </t>
    </r>
    <r>
      <rPr>
        <b val="true"/>
        <sz val="16"/>
        <color rgb="FF1F3864"/>
        <rFont val="맑은 고딕"/>
        <family val="0"/>
        <charset val="1"/>
      </rPr>
      <t xml:space="preserve">(ABB → Schneider M241)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</si>
  <si>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: Techross RFQ 'PLC </t>
    </r>
    <r>
      <rPr>
        <sz val="9"/>
        <color rgb="FF595959"/>
        <rFont val="WenQuanYi Zen Hei"/>
        <family val="2"/>
      </rPr>
      <t xml:space="preserve">사양서 </t>
    </r>
    <r>
      <rPr>
        <sz val="9"/>
        <color rgb="FF595959"/>
        <rFont val="맑은 고딕"/>
        <family val="0"/>
        <charset val="1"/>
      </rPr>
      <t xml:space="preserve">R3.1'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할인 적용 매입가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</si>
  <si>
    <t xml:space="preserve">노란 칸</t>
  </si>
  <si>
    <r>
      <rPr>
        <sz val="9"/>
        <color rgb="FF595959"/>
        <rFont val="WenQuanYi Zen Hei"/>
        <family val="2"/>
      </rPr>
      <t xml:space="preserve">← 바꿔도 되는 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바꾸면 금액이 자동으로 다시 계산됩니다</t>
    </r>
    <r>
      <rPr>
        <sz val="9"/>
        <color rgb="FF595959"/>
        <rFont val="맑은 고딕"/>
        <family val="0"/>
        <charset val="1"/>
      </rPr>
      <t xml:space="preserve">)</t>
    </r>
  </si>
  <si>
    <t xml:space="preserve">프로젝트</t>
  </si>
  <si>
    <r>
      <rPr>
        <b val="true"/>
        <sz val="10"/>
        <color rgb="FFFFFFFF"/>
        <rFont val="WenQuanYi Zen Hei"/>
        <family val="2"/>
      </rPr>
      <t xml:space="preserve">기존 </t>
    </r>
    <r>
      <rPr>
        <b val="true"/>
        <sz val="10"/>
        <color rgb="FFFFFFFF"/>
        <rFont val="맑은 고딕"/>
        <family val="0"/>
        <charset val="1"/>
      </rPr>
      <t xml:space="preserve">PLC 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</si>
  <si>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</si>
  <si>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</si>
  <si>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</si>
  <si>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</si>
  <si>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</si>
  <si>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</si>
  <si>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</si>
  <si>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</si>
  <si>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</si>
  <si>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</si>
  <si>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</si>
  <si>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</si>
  <si>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</si>
  <si>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</si>
  <si>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</si>
  <si>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0"/>
        <charset val="1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0"/>
        <charset val="1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0"/>
        <charset val="1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0"/>
        <charset val="1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0"/>
        <charset val="1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0"/>
        <charset val="1"/>
      </rPr>
      <t xml:space="preserve">).</t>
    </r>
  </si>
  <si>
    <r>
      <rPr>
        <b val="true"/>
        <sz val="13"/>
        <color rgb="FF1F3864"/>
        <rFont val="맑은 고딕"/>
        <family val="0"/>
        <charset val="1"/>
      </rPr>
      <t xml:space="preserve">MCC — Schneider </t>
    </r>
    <r>
      <rPr>
        <b val="true"/>
        <sz val="13"/>
        <color rgb="FF1F3864"/>
        <rFont val="WenQuanYi Zen Hei"/>
        <family val="2"/>
      </rPr>
      <t xml:space="preserve">제안이 </t>
    </r>
    <r>
      <rPr>
        <b val="true"/>
        <sz val="13"/>
        <color rgb="FF1F3864"/>
        <rFont val="맑은 고딕"/>
        <family val="0"/>
        <charset val="1"/>
      </rPr>
      <t xml:space="preserve">Techross </t>
    </r>
    <r>
      <rPr>
        <b val="true"/>
        <sz val="13"/>
        <color rgb="FF1F3864"/>
        <rFont val="WenQuanYi Zen Hei"/>
        <family val="2"/>
      </rPr>
      <t xml:space="preserve">요구와 일치 </t>
    </r>
    <r>
      <rPr>
        <b val="true"/>
        <sz val="13"/>
        <color rgb="FF1F3864"/>
        <rFont val="맑은 고딕"/>
        <family val="0"/>
        <charset val="1"/>
      </rPr>
      <t xml:space="preserve">(Techross </t>
    </r>
    <r>
      <rPr>
        <b val="true"/>
        <sz val="13"/>
        <color rgb="FF1F3864"/>
        <rFont val="WenQuanYi Zen Hei"/>
        <family val="2"/>
      </rPr>
      <t xml:space="preserve">확인</t>
    </r>
    <r>
      <rPr>
        <b val="true"/>
        <sz val="13"/>
        <color rgb="FF1F3864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</si>
  <si>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구성</t>
    </r>
    <r>
      <rPr>
        <sz val="10"/>
        <color rgb="FF000000"/>
        <rFont val="맑은 고딕"/>
        <family val="0"/>
        <charset val="1"/>
      </rPr>
      <t xml:space="preserve">: TM241CE40T + TM3DI16×2 + TM3DI8 + TM3DQ16T + TM3DQ8T + TM3AQ2  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40 (Relay·TR </t>
    </r>
    <r>
      <rPr>
        <sz val="10"/>
        <color rgb="FF000000"/>
        <rFont val="WenQuanYi Zen Hei"/>
        <family val="2"/>
      </rPr>
      <t xml:space="preserve">무관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 · </t>
    </r>
    <r>
      <rPr>
        <sz val="10"/>
        <color rgb="FF000000"/>
        <rFont val="WenQuanYi Zen Hei"/>
        <family val="2"/>
      </rPr>
      <t xml:space="preserve">확장 모듈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개 → 버스 확장 불필요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</si>
  <si>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핵심 정리</t>
  </si>
  <si>
    <r>
      <rPr>
        <sz val="10"/>
        <color rgb="FF375623"/>
        <rFont val="맑은 고딕"/>
        <family val="0"/>
        <charset val="1"/>
      </rPr>
      <t xml:space="preserve">② 4</t>
    </r>
    <r>
      <rPr>
        <sz val="10"/>
        <color rgb="FF375623"/>
        <rFont val="WenQuanYi Zen Hei"/>
        <family val="2"/>
      </rPr>
      <t xml:space="preserve">개 프로젝트 모두 </t>
    </r>
    <r>
      <rPr>
        <sz val="10"/>
        <color rgb="FF375623"/>
        <rFont val="맑은 고딕"/>
        <family val="0"/>
        <charset val="1"/>
      </rPr>
      <t xml:space="preserve">Schneider </t>
    </r>
    <r>
      <rPr>
        <sz val="10"/>
        <color rgb="FF375623"/>
        <rFont val="WenQuanYi Zen Hei"/>
        <family val="2"/>
      </rPr>
      <t xml:space="preserve">제안 구성이 </t>
    </r>
    <r>
      <rPr>
        <sz val="10"/>
        <color rgb="FF375623"/>
        <rFont val="맑은 고딕"/>
        <family val="0"/>
        <charset val="1"/>
      </rPr>
      <t xml:space="preserve">Techross </t>
    </r>
    <r>
      <rPr>
        <sz val="10"/>
        <color rgb="FF375623"/>
        <rFont val="WenQuanYi Zen Hei"/>
        <family val="2"/>
      </rPr>
      <t xml:space="preserve">요구와 일치합니다 </t>
    </r>
    <r>
      <rPr>
        <sz val="10"/>
        <color rgb="FF375623"/>
        <rFont val="맑은 고딕"/>
        <family val="0"/>
        <charset val="1"/>
      </rPr>
      <t xml:space="preserve">(MCC</t>
    </r>
    <r>
      <rPr>
        <sz val="10"/>
        <color rgb="FF375623"/>
        <rFont val="WenQuanYi Zen Hei"/>
        <family val="2"/>
      </rPr>
      <t xml:space="preserve">는 </t>
    </r>
    <r>
      <rPr>
        <sz val="10"/>
        <color rgb="FF375623"/>
        <rFont val="맑은 고딕"/>
        <family val="0"/>
        <charset val="1"/>
      </rPr>
      <t xml:space="preserve">Relay·TR </t>
    </r>
    <r>
      <rPr>
        <sz val="10"/>
        <color rgb="FF375623"/>
        <rFont val="WenQuanYi Zen Hei"/>
        <family val="2"/>
      </rPr>
      <t xml:space="preserve">무관</t>
    </r>
    <r>
      <rPr>
        <sz val="10"/>
        <color rgb="FF375623"/>
        <rFont val="맑은 고딕"/>
        <family val="0"/>
        <charset val="1"/>
      </rPr>
      <t xml:space="preserve">, </t>
    </r>
    <r>
      <rPr>
        <sz val="10"/>
        <color rgb="FF375623"/>
        <rFont val="WenQuanYi Zen Hei"/>
        <family val="2"/>
      </rPr>
      <t xml:space="preserve">원안 점수 — </t>
    </r>
    <r>
      <rPr>
        <sz val="10"/>
        <color rgb="FF375623"/>
        <rFont val="맑은 고딕"/>
        <family val="0"/>
        <charset val="1"/>
      </rPr>
      <t xml:space="preserve">Techross </t>
    </r>
    <r>
      <rPr>
        <sz val="10"/>
        <color rgb="FF375623"/>
        <rFont val="WenQuanYi Zen Hei"/>
        <family val="2"/>
      </rPr>
      <t xml:space="preserve">확인</t>
    </r>
    <r>
      <rPr>
        <sz val="10"/>
        <color rgb="FF375623"/>
        <rFont val="맑은 고딕"/>
        <family val="0"/>
        <charset val="1"/>
      </rPr>
      <t xml:space="preserve">).</t>
    </r>
  </si>
  <si>
    <r>
      <rPr>
        <sz val="10"/>
        <color rgb="FF375623"/>
        <rFont val="맑은 고딕"/>
        <family val="0"/>
        <charset val="1"/>
      </rPr>
      <t xml:space="preserve">③ MCC</t>
    </r>
    <r>
      <rPr>
        <sz val="10"/>
        <color rgb="FF375623"/>
        <rFont val="WenQuanYi Zen Hei"/>
        <family val="2"/>
      </rPr>
      <t xml:space="preserve">는 확장 모듈 </t>
    </r>
    <r>
      <rPr>
        <sz val="10"/>
        <color rgb="FF375623"/>
        <rFont val="맑은 고딕"/>
        <family val="0"/>
        <charset val="1"/>
      </rPr>
      <t xml:space="preserve">6</t>
    </r>
    <r>
      <rPr>
        <sz val="10"/>
        <color rgb="FF375623"/>
        <rFont val="WenQuanYi Zen Hei"/>
        <family val="2"/>
      </rPr>
      <t xml:space="preserve">개라 버스 확장 부품이 필요 없습니다</t>
    </r>
    <r>
      <rPr>
        <sz val="10"/>
        <color rgb="FF375623"/>
        <rFont val="맑은 고딕"/>
        <family val="0"/>
        <charset val="1"/>
      </rPr>
      <t xml:space="preserve">. </t>
    </r>
    <r>
      <rPr>
        <sz val="10"/>
        <color rgb="FF375623"/>
        <rFont val="WenQuanYi Zen Hei"/>
        <family val="2"/>
      </rPr>
      <t xml:space="preserve">남은 보완은 서류</t>
    </r>
    <r>
      <rPr>
        <sz val="10"/>
        <color rgb="FF375623"/>
        <rFont val="맑은 고딕"/>
        <family val="0"/>
        <charset val="1"/>
      </rPr>
      <t xml:space="preserve">(</t>
    </r>
    <r>
      <rPr>
        <sz val="10"/>
        <color rgb="FF375623"/>
        <rFont val="WenQuanYi Zen Hei"/>
        <family val="2"/>
      </rPr>
      <t xml:space="preserve">제안 가격</t>
    </r>
    <r>
      <rPr>
        <sz val="10"/>
        <color rgb="FF375623"/>
        <rFont val="맑은 고딕"/>
        <family val="0"/>
        <charset val="1"/>
      </rPr>
      <t xml:space="preserve">, </t>
    </r>
    <r>
      <rPr>
        <sz val="10"/>
        <color rgb="FF375623"/>
        <rFont val="WenQuanYi Zen Hei"/>
        <family val="2"/>
      </rPr>
      <t xml:space="preserve">외형도 </t>
    </r>
    <r>
      <rPr>
        <sz val="10"/>
        <color rgb="FF375623"/>
        <rFont val="맑은 고딕"/>
        <family val="0"/>
        <charset val="1"/>
      </rPr>
      <t xml:space="preserve">CAD </t>
    </r>
    <r>
      <rPr>
        <sz val="10"/>
        <color rgb="FF375623"/>
        <rFont val="WenQuanYi Zen Hei"/>
        <family val="2"/>
      </rPr>
      <t xml:space="preserve">등</t>
    </r>
    <r>
      <rPr>
        <sz val="10"/>
        <color rgb="FF375623"/>
        <rFont val="맑은 고딕"/>
        <family val="0"/>
        <charset val="1"/>
      </rPr>
      <t xml:space="preserve">)</t>
    </r>
    <r>
      <rPr>
        <sz val="10"/>
        <color rgb="FF375623"/>
        <rFont val="WenQuanYi Zen Hei"/>
        <family val="2"/>
      </rPr>
      <t xml:space="preserve">뿐입니다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</si>
  <si>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④ TM241CE40T(MCC CPU, </t>
    </r>
    <r>
      <rPr>
        <sz val="10"/>
        <color rgb="FFC00000"/>
        <rFont val="WenQuanYi Zen Hei"/>
        <family val="2"/>
      </rPr>
      <t xml:space="preserve">연 </t>
    </r>
    <r>
      <rPr>
        <sz val="10"/>
        <color rgb="FFC00000"/>
        <rFont val="맑은 고딕"/>
        <family val="0"/>
        <charset val="1"/>
      </rPr>
      <t xml:space="preserve">100</t>
    </r>
    <r>
      <rPr>
        <sz val="10"/>
        <color rgb="FFC00000"/>
        <rFont val="WenQuanYi Zen Hei"/>
        <family val="2"/>
      </rPr>
      <t xml:space="preserve">대</t>
    </r>
    <r>
      <rPr>
        <sz val="10"/>
        <color rgb="FFC00000"/>
        <rFont val="맑은 고딕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는 받은 견적에 없어 추정 단가로 계산 → </t>
    </r>
    <r>
      <rPr>
        <sz val="10"/>
        <color rgb="FFC00000"/>
        <rFont val="맑은 고딕"/>
        <family val="0"/>
        <charset val="1"/>
      </rPr>
      <t xml:space="preserve">Schneider</t>
    </r>
    <r>
      <rPr>
        <sz val="10"/>
        <color rgb="FFC00000"/>
        <rFont val="WenQuanYi Zen Hei"/>
        <family val="2"/>
      </rPr>
      <t xml:space="preserve">에 실단가 요청 필요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</si>
  <si>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0"/>
        <charset val="1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</si>
  <si>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⑦ 받은 단가가 </t>
    </r>
    <r>
      <rPr>
        <sz val="10"/>
        <color rgb="FF000000"/>
        <rFont val="맑은 고딕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년 가격 기준인지 확인이 필요합니다 </t>
    </r>
    <r>
      <rPr>
        <sz val="10"/>
        <color rgb="FF000000"/>
        <rFont val="맑은 고딕"/>
        <family val="0"/>
        <charset val="1"/>
      </rPr>
      <t xml:space="preserve">(RFQ </t>
    </r>
    <r>
      <rPr>
        <sz val="10"/>
        <color rgb="FF000000"/>
        <rFont val="WenQuanYi Zen Hei"/>
        <family val="2"/>
      </rPr>
      <t xml:space="preserve">조건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</si>
  <si>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4"/>
        <color rgb="FF1F3864"/>
        <rFont val="맑은 고딕"/>
        <family val="0"/>
        <charset val="1"/>
      </rPr>
      <t xml:space="preserve">LS </t>
    </r>
    <r>
      <rPr>
        <b val="true"/>
        <sz val="14"/>
        <color rgb="FF1F3864"/>
        <rFont val="WenQuanYi Zen Hei"/>
        <family val="2"/>
      </rPr>
      <t xml:space="preserve">타겟 프라이스 → 우리 마진 </t>
    </r>
    <r>
      <rPr>
        <b val="true"/>
        <sz val="14"/>
        <color rgb="FF1F3864"/>
        <rFont val="맑은 고딕"/>
        <family val="0"/>
        <charset val="1"/>
      </rPr>
      <t xml:space="preserve">&amp; </t>
    </r>
    <r>
      <rPr>
        <b val="true"/>
        <sz val="14"/>
        <color rgb="FF1F3864"/>
        <rFont val="WenQuanYi Zen Hei"/>
        <family val="2"/>
      </rPr>
      <t xml:space="preserve">필요한 추가 특가</t>
    </r>
  </si>
  <si>
    <r>
      <rPr>
        <sz val="9"/>
        <color rgb="FF595959"/>
        <rFont val="WenQuanYi Zen Hei"/>
        <family val="2"/>
      </rPr>
      <t xml:space="preserve">사용법</t>
    </r>
    <r>
      <rPr>
        <sz val="9"/>
        <color rgb="FF595959"/>
        <rFont val="맑은 고딕"/>
        <family val="0"/>
        <charset val="1"/>
      </rPr>
      <t xml:space="preserve">: ① </t>
    </r>
    <r>
      <rPr>
        <sz val="9"/>
        <color rgb="FF595959"/>
        <rFont val="WenQuanYi Zen Hei"/>
        <family val="2"/>
      </rPr>
      <t xml:space="preserve">노란 칸에 </t>
    </r>
    <r>
      <rPr>
        <sz val="9"/>
        <color rgb="FF595959"/>
        <rFont val="맑은 고딕"/>
        <family val="0"/>
        <charset val="1"/>
      </rPr>
      <t xml:space="preserve">LS </t>
    </r>
    <r>
      <rPr>
        <sz val="9"/>
        <color rgb="FF595959"/>
        <rFont val="WenQuanYi Zen Hei"/>
        <family val="2"/>
      </rPr>
      <t xml:space="preserve">타겟 프라이스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입력  ② 희망 마진율 입력  → 지금 마진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그리고 희망 마진을 남기려면 </t>
    </r>
    <r>
      <rPr>
        <sz val="9"/>
        <color rgb="FF595959"/>
        <rFont val="맑은 고딕"/>
        <family val="0"/>
        <charset val="1"/>
      </rPr>
      <t xml:space="preserve">Schneider</t>
    </r>
    <r>
      <rPr>
        <sz val="9"/>
        <color rgb="FF595959"/>
        <rFont val="WenQuanYi Zen Hei"/>
        <family val="2"/>
      </rPr>
      <t xml:space="preserve">에 얼마나 더 깎아야 하는지 바로 나옵니다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</si>
  <si>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희망 마진율</t>
  </si>
  <si>
    <r>
      <rPr>
        <sz val="9"/>
        <color rgb="FF595959"/>
        <rFont val="WenQuanYi Zen Hei"/>
        <family val="2"/>
      </rPr>
      <t xml:space="preserve">← 우리가 남기고 싶은 마진율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판매가 기준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예시로 </t>
    </r>
    <r>
      <rPr>
        <sz val="9"/>
        <color rgb="FF595959"/>
        <rFont val="맑은 고딕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를 넣어 둠 — 바꾸세요</t>
    </r>
  </si>
  <si>
    <r>
      <rPr>
        <b val="true"/>
        <sz val="12"/>
        <color rgb="FF1F3864"/>
        <rFont val="WenQuanYi Zen Hei"/>
        <family val="2"/>
      </rPr>
      <t xml:space="preserve">① 지금 단가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현재 </t>
    </r>
    <r>
      <rPr>
        <b val="true"/>
        <sz val="12"/>
        <color rgb="FF1F3864"/>
        <rFont val="맑은 고딕"/>
        <family val="0"/>
        <charset val="1"/>
      </rPr>
      <t xml:space="preserve">DF)</t>
    </r>
    <r>
      <rPr>
        <b val="true"/>
        <sz val="12"/>
        <color rgb="FF1F3864"/>
        <rFont val="WenQuanYi Zen Hei"/>
        <family val="2"/>
      </rPr>
      <t xml:space="preserve">로 </t>
    </r>
    <r>
      <rPr>
        <b val="true"/>
        <sz val="12"/>
        <color rgb="FF1F3864"/>
        <rFont val="맑은 고딕"/>
        <family val="0"/>
        <charset val="1"/>
      </rPr>
      <t xml:space="preserve">LS </t>
    </r>
    <r>
      <rPr>
        <b val="true"/>
        <sz val="12"/>
        <color rgb="FF1F3864"/>
        <rFont val="WenQuanYi Zen Hei"/>
        <family val="2"/>
      </rPr>
      <t xml:space="preserve">타겟 가격에 팔면</t>
    </r>
  </si>
  <si>
    <t xml:space="preserve">전원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</si>
  <si>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</si>
  <si>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LS </t>
    </r>
    <r>
      <rPr>
        <b val="true"/>
        <sz val="10"/>
        <color rgb="FFFFFFFF"/>
        <rFont val="WenQuanYi Zen Hei"/>
        <family val="2"/>
      </rPr>
      <t xml:space="preserve">타겟 프라이스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</si>
  <si>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</si>
  <si>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마진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</si>
  <si>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마진율</t>
  </si>
  <si>
    <t xml:space="preserve">연간 매출</t>
  </si>
  <si>
    <t xml:space="preserve">연간 마진</t>
  </si>
  <si>
    <t xml:space="preserve">DC24V</t>
  </si>
  <si>
    <t xml:space="preserve">← 마이너스면 빨간색</t>
  </si>
  <si>
    <t xml:space="preserve">AC220V</t>
  </si>
  <si>
    <r>
      <rPr>
        <b val="true"/>
        <sz val="12"/>
        <color rgb="FF1F3864"/>
        <rFont val="WenQuanYi Zen Hei"/>
        <family val="2"/>
      </rPr>
      <t xml:space="preserve">② 희망 마진율을 남기려면 </t>
    </r>
    <r>
      <rPr>
        <b val="true"/>
        <sz val="12"/>
        <color rgb="FF1F3864"/>
        <rFont val="맑은 고딕"/>
        <family val="0"/>
        <charset val="1"/>
      </rPr>
      <t xml:space="preserve">Schneider</t>
    </r>
    <r>
      <rPr>
        <b val="true"/>
        <sz val="12"/>
        <color rgb="FF1F3864"/>
        <rFont val="WenQuanYi Zen Hei"/>
        <family val="2"/>
      </rPr>
      <t xml:space="preserve">에 얼마나 더 받아야 하나</t>
    </r>
  </si>
  <si>
    <r>
      <rPr>
        <b val="true"/>
        <sz val="10"/>
        <color rgb="FFFFFFFF"/>
        <rFont val="WenQuanYi Zen Hei"/>
        <family val="2"/>
      </rPr>
      <t xml:space="preserve">허용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</si>
  <si>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더 깎아야 할 금액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</si>
  <si>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추가 할인율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현재 매입가 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</si>
  <si>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</si>
  <si>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필요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</si>
  <si>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연간 추가 특가
필요액</t>
  </si>
  <si>
    <t xml:space="preserve">판정</t>
  </si>
  <si>
    <r>
      <rPr>
        <sz val="8"/>
        <color rgb="FF7F7F7F"/>
        <rFont val="WenQuanYi Zen Hei"/>
        <family val="2"/>
      </rPr>
      <t xml:space="preserve">※ 허용 매입가 </t>
    </r>
    <r>
      <rPr>
        <sz val="8"/>
        <color rgb="FF7F7F7F"/>
        <rFont val="맑은 고딕"/>
        <family val="0"/>
        <charset val="1"/>
      </rPr>
      <t xml:space="preserve">= </t>
    </r>
    <r>
      <rPr>
        <sz val="8"/>
        <color rgb="FF7F7F7F"/>
        <rFont val="WenQuanYi Zen Hei"/>
        <family val="2"/>
      </rPr>
      <t xml:space="preserve">타겟 </t>
    </r>
    <r>
      <rPr>
        <sz val="8"/>
        <color rgb="FF7F7F7F"/>
        <rFont val="맑은 고딕"/>
        <family val="0"/>
        <charset val="1"/>
      </rPr>
      <t xml:space="preserve">× (1 − </t>
    </r>
    <r>
      <rPr>
        <sz val="8"/>
        <color rgb="FF7F7F7F"/>
        <rFont val="WenQuanYi Zen Hei"/>
        <family val="2"/>
      </rPr>
      <t xml:space="preserve">희망 마진율</t>
    </r>
    <r>
      <rPr>
        <sz val="8"/>
        <color rgb="FF7F7F7F"/>
        <rFont val="맑은 고딕"/>
        <family val="0"/>
        <charset val="1"/>
      </rPr>
      <t xml:space="preserve">).  </t>
    </r>
    <r>
      <rPr>
        <sz val="8"/>
        <color rgb="FF7F7F7F"/>
        <rFont val="WenQuanYi Zen Hei"/>
        <family val="2"/>
      </rPr>
      <t xml:space="preserve">실효 </t>
    </r>
    <r>
      <rPr>
        <sz val="8"/>
        <color rgb="FF7F7F7F"/>
        <rFont val="맑은 고딕"/>
        <family val="0"/>
        <charset val="1"/>
      </rPr>
      <t xml:space="preserve">DF = 1</t>
    </r>
    <r>
      <rPr>
        <sz val="8"/>
        <color rgb="FF7F7F7F"/>
        <rFont val="WenQuanYi Zen Hei"/>
        <family val="2"/>
      </rPr>
      <t xml:space="preserve">대 매입가 </t>
    </r>
    <r>
      <rPr>
        <sz val="8"/>
        <color rgb="FF7F7F7F"/>
        <rFont val="맑은 고딕"/>
        <family val="0"/>
        <charset val="1"/>
      </rPr>
      <t xml:space="preserve">÷ 1</t>
    </r>
    <r>
      <rPr>
        <sz val="8"/>
        <color rgb="FF7F7F7F"/>
        <rFont val="WenQuanYi Zen Hei"/>
        <family val="2"/>
      </rPr>
      <t xml:space="preserve">대 리스트가 합계 </t>
    </r>
    <r>
      <rPr>
        <sz val="8"/>
        <color rgb="FF7F7F7F"/>
        <rFont val="맑은 고딕"/>
        <family val="0"/>
        <charset val="1"/>
      </rPr>
      <t xml:space="preserve">(CPU 0.45 · </t>
    </r>
    <r>
      <rPr>
        <sz val="8"/>
        <color rgb="FF7F7F7F"/>
        <rFont val="WenQuanYi Zen Hei"/>
        <family val="2"/>
      </rPr>
      <t xml:space="preserve">모듈 </t>
    </r>
    <r>
      <rPr>
        <sz val="8"/>
        <color rgb="FF7F7F7F"/>
        <rFont val="맑은 고딕"/>
        <family val="0"/>
        <charset val="1"/>
      </rPr>
      <t xml:space="preserve">0.40</t>
    </r>
    <r>
      <rPr>
        <sz val="8"/>
        <color rgb="FF7F7F7F"/>
        <rFont val="WenQuanYi Zen Hei"/>
        <family val="2"/>
      </rPr>
      <t xml:space="preserve">이 섞인 평균 할인율</t>
    </r>
    <r>
      <rPr>
        <sz val="8"/>
        <color rgb="FF7F7F7F"/>
        <rFont val="맑은 고딕"/>
        <family val="0"/>
        <charset val="1"/>
      </rPr>
      <t xml:space="preserve">).  '</t>
    </r>
    <r>
      <rPr>
        <sz val="8"/>
        <color rgb="FF7F7F7F"/>
        <rFont val="WenQuanYi Zen Hei"/>
        <family val="2"/>
      </rPr>
      <t xml:space="preserve">필요 </t>
    </r>
    <r>
      <rPr>
        <sz val="8"/>
        <color rgb="FF7F7F7F"/>
        <rFont val="맑은 고딕"/>
        <family val="0"/>
        <charset val="1"/>
      </rPr>
      <t xml:space="preserve">DF'</t>
    </r>
    <r>
      <rPr>
        <sz val="8"/>
        <color rgb="FF7F7F7F"/>
        <rFont val="WenQuanYi Zen Hei"/>
        <family val="2"/>
      </rPr>
      <t xml:space="preserve">가 </t>
    </r>
    <r>
      <rPr>
        <sz val="8"/>
        <color rgb="FF7F7F7F"/>
        <rFont val="맑은 고딕"/>
        <family val="0"/>
        <charset val="1"/>
      </rPr>
      <t xml:space="preserve">Schneider</t>
    </r>
    <r>
      <rPr>
        <sz val="8"/>
        <color rgb="FF7F7F7F"/>
        <rFont val="WenQuanYi Zen Hei"/>
        <family val="2"/>
      </rPr>
      <t xml:space="preserve">에 요청할 수준입니다</t>
    </r>
    <r>
      <rPr>
        <sz val="8"/>
        <color rgb="FF7F7F7F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</si>
  <si>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WenQuanYi Zen Hei"/>
        <family val="2"/>
      </rPr>
      <t xml:space="preserve">③ 연간 합계 </t>
    </r>
    <r>
      <rPr>
        <b val="true"/>
        <sz val="12"/>
        <color rgb="FF1F3864"/>
        <rFont val="맑은 고딕"/>
        <family val="0"/>
        <charset val="1"/>
      </rPr>
      <t xml:space="preserve">(4</t>
    </r>
    <r>
      <rPr>
        <b val="true"/>
        <sz val="12"/>
        <color rgb="FF1F3864"/>
        <rFont val="WenQuanYi Zen Hei"/>
        <family val="2"/>
      </rPr>
      <t xml:space="preserve">개 프로젝트 전부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</si>
  <si>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납품 방식</t>
  </si>
  <si>
    <t xml:space="preserve">연간 매입</t>
  </si>
  <si>
    <t xml:space="preserve">희망 마진까지
연간 추가 특가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</si>
  <si>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납품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</si>
  <si>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납품 </t>
    </r>
    <r>
      <rPr>
        <b val="true"/>
        <sz val="10"/>
        <color rgb="FF000000"/>
        <rFont val="맑은 고딕"/>
        <family val="0"/>
        <charset val="1"/>
      </rPr>
      <t xml:space="preserve">(MCC</t>
    </r>
    <r>
      <rPr>
        <b val="true"/>
        <sz val="10"/>
        <color rgb="FF000000"/>
        <rFont val="WenQuanYi Zen Hei"/>
        <family val="2"/>
      </rPr>
      <t xml:space="preserve">는 </t>
    </r>
    <r>
      <rPr>
        <b val="true"/>
        <sz val="10"/>
        <color rgb="FF000000"/>
        <rFont val="맑은 고딕"/>
        <family val="0"/>
        <charset val="1"/>
      </rPr>
      <t xml:space="preserve">DC24V)</t>
    </r>
  </si>
  <si>
    <r>
      <rPr>
        <sz val="9"/>
        <color rgb="FF7F7F7F"/>
        <rFont val="WenQuanYi Zen Hei"/>
        <family val="2"/>
      </rPr>
      <t xml:space="preserve">※ 매입가는 현재 할인율 기준</t>
    </r>
    <r>
      <rPr>
        <sz val="9"/>
        <color rgb="FF7F7F7F"/>
        <rFont val="맑은 고딕"/>
        <family val="0"/>
        <charset val="1"/>
      </rPr>
      <t xml:space="preserve">. MCC CPU(TM241CE40T)</t>
    </r>
    <r>
      <rPr>
        <sz val="9"/>
        <color rgb="FF7F7F7F"/>
        <rFont val="WenQuanYi Zen Hei"/>
        <family val="2"/>
      </rPr>
      <t xml:space="preserve">는 견적에 없어 추정 단가 — 실단가를 </t>
    </r>
    <r>
      <rPr>
        <sz val="9"/>
        <color rgb="FF7F7F7F"/>
        <rFont val="맑은 고딕"/>
        <family val="0"/>
        <charset val="1"/>
      </rPr>
      <t xml:space="preserve">'</t>
    </r>
    <r>
      <rPr>
        <sz val="9"/>
        <color rgb="FF7F7F7F"/>
        <rFont val="WenQuanYi Zen Hei"/>
        <family val="2"/>
      </rPr>
      <t xml:space="preserve">단가표</t>
    </r>
    <r>
      <rPr>
        <sz val="9"/>
        <color rgb="FF7F7F7F"/>
        <rFont val="맑은 고딕"/>
        <family val="0"/>
        <charset val="1"/>
      </rPr>
      <t xml:space="preserve">'</t>
    </r>
    <r>
      <rPr>
        <sz val="9"/>
        <color rgb="FF7F7F7F"/>
        <rFont val="WenQuanYi Zen Hei"/>
        <family val="2"/>
      </rPr>
      <t xml:space="preserve">에 넣으면 자동 반영됩니다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</si>
  <si>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sz val="9"/>
        <color rgb="FF7F7F7F"/>
        <rFont val="맑은 고딕"/>
        <family val="0"/>
        <charset val="1"/>
      </rPr>
      <t xml:space="preserve">※ LS</t>
    </r>
    <r>
      <rPr>
        <sz val="9"/>
        <color rgb="FF7F7F7F"/>
        <rFont val="WenQuanYi Zen Hei"/>
        <family val="2"/>
      </rPr>
      <t xml:space="preserve">가 프로젝트별로 한 가격만 주면 </t>
    </r>
    <r>
      <rPr>
        <sz val="9"/>
        <color rgb="FF7F7F7F"/>
        <rFont val="맑은 고딕"/>
        <family val="0"/>
        <charset val="1"/>
      </rPr>
      <t xml:space="preserve">AC220V·DC24V </t>
    </r>
    <r>
      <rPr>
        <sz val="9"/>
        <color rgb="FF7F7F7F"/>
        <rFont val="WenQuanYi Zen Hei"/>
        <family val="2"/>
      </rPr>
      <t xml:space="preserve">칸에 같은 값을 넣어 비교하세요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</si>
  <si>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연간 </t>
    </r>
    <r>
      <rPr>
        <b val="true"/>
        <sz val="14"/>
        <color rgb="FF1F3864"/>
        <rFont val="맑은 고딕"/>
        <family val="0"/>
        <charset val="1"/>
      </rPr>
      <t xml:space="preserve">BOM — </t>
    </r>
    <r>
      <rPr>
        <b val="true"/>
        <sz val="14"/>
        <color rgb="FF1F3864"/>
        <rFont val="WenQuanYi Zen Hei"/>
        <family val="2"/>
      </rPr>
      <t xml:space="preserve">확정 구성 기준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모델별 연간 소요량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</si>
  <si>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연간 수량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프로젝트별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대 구성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연간 구매수량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요약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시트</t>
    </r>
    <r>
      <rPr>
        <sz val="9"/>
        <color rgb="FF595959"/>
        <rFont val="맑은 고딕"/>
        <family val="0"/>
        <charset val="1"/>
      </rPr>
      <t xml:space="preserve">)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매입 단가  </t>
    </r>
    <r>
      <rPr>
        <sz val="9"/>
        <color rgb="FF595959"/>
        <rFont val="맑은 고딕"/>
        <family val="0"/>
        <charset val="1"/>
      </rPr>
      <t xml:space="preserve">·  4</t>
    </r>
    <r>
      <rPr>
        <sz val="9"/>
        <color rgb="FF595959"/>
        <rFont val="WenQuanYi Zen Hei"/>
        <family val="2"/>
      </rPr>
      <t xml:space="preserve">개 프로젝트 모두 </t>
    </r>
    <r>
      <rPr>
        <sz val="9"/>
        <color rgb="FF595959"/>
        <rFont val="맑은 고딕"/>
        <family val="0"/>
        <charset val="1"/>
      </rPr>
      <t xml:space="preserve">Schneider </t>
    </r>
    <r>
      <rPr>
        <sz val="9"/>
        <color rgb="FF595959"/>
        <rFont val="WenQuanYi Zen Hei"/>
        <family val="2"/>
      </rPr>
      <t xml:space="preserve">제안 구성 </t>
    </r>
    <r>
      <rPr>
        <sz val="9"/>
        <color rgb="FF595959"/>
        <rFont val="맑은 고딕"/>
        <family val="0"/>
        <charset val="1"/>
      </rPr>
      <t xml:space="preserve">(Techross </t>
    </r>
    <r>
      <rPr>
        <sz val="9"/>
        <color rgb="FF595959"/>
        <rFont val="WenQuanYi Zen Hei"/>
        <family val="2"/>
      </rPr>
      <t xml:space="preserve">확인</t>
    </r>
    <r>
      <rPr>
        <sz val="9"/>
        <color rgb="FF595959"/>
        <rFont val="맑은 고딕"/>
        <family val="0"/>
        <charset val="1"/>
      </rPr>
      <t xml:space="preserve">)</t>
    </r>
  </si>
  <si>
    <t xml:space="preserve">모델</t>
  </si>
  <si>
    <t xml:space="preserve">설명</t>
  </si>
  <si>
    <t xml:space="preserve">단가</t>
  </si>
  <si>
    <r>
      <rPr>
        <b val="true"/>
        <sz val="10"/>
        <color rgb="FFFFFFFF"/>
        <rFont val="맑은 고딕"/>
        <family val="0"/>
        <charset val="1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</si>
  <si>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0"/>
        <charset val="1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금액</t>
    </r>
  </si>
  <si>
    <r>
      <rPr>
        <b val="true"/>
        <sz val="10"/>
        <color rgb="FFFFFFFF"/>
        <rFont val="맑은 고딕"/>
        <family val="0"/>
        <charset val="1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</si>
  <si>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0"/>
        <charset val="1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금액</t>
    </r>
  </si>
  <si>
    <r>
      <rPr>
        <b val="true"/>
        <sz val="10"/>
        <color rgb="FFFFFFFF"/>
        <rFont val="WenQuanYi Zen Hei"/>
        <family val="2"/>
      </rPr>
      <t xml:space="preserve">사용 프로젝트 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대당 수량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</si>
  <si>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TM241C24T</t>
  </si>
  <si>
    <t xml:space="preserve">TSU, ANU-S</t>
  </si>
  <si>
    <t xml:space="preserve">TM241C24R</t>
  </si>
  <si>
    <t xml:space="preserve">TM241C40T</t>
  </si>
  <si>
    <t xml:space="preserve">TM241C40R</t>
  </si>
  <si>
    <t xml:space="preserve">TM241CE40T</t>
  </si>
  <si>
    <r>
      <rPr>
        <sz val="9"/>
        <color rgb="FFC00000"/>
        <rFont val="맑은 고딕"/>
        <family val="0"/>
        <charset val="1"/>
      </rPr>
      <t xml:space="preserve">MCC  ※ </t>
    </r>
    <r>
      <rPr>
        <sz val="9"/>
        <color rgb="FFC00000"/>
        <rFont val="WenQuanYi Zen Hei"/>
        <family val="2"/>
      </rPr>
      <t xml:space="preserve">추정 단가</t>
    </r>
  </si>
  <si>
    <t xml:space="preserve">TM3DI16</t>
  </si>
  <si>
    <t xml:space="preserve">MCC×2</t>
  </si>
  <si>
    <t xml:space="preserve">TM3DI8</t>
  </si>
  <si>
    <t xml:space="preserve">TM3DQ16T</t>
  </si>
  <si>
    <t xml:space="preserve">TM3DQ8T</t>
  </si>
  <si>
    <t xml:space="preserve">TM3AQ2</t>
  </si>
  <si>
    <t xml:space="preserve">ANU-S, MCC</t>
  </si>
  <si>
    <r>
      <rPr>
        <sz val="9"/>
        <color rgb="FF404040"/>
        <rFont val="맑은 고딕"/>
        <family val="0"/>
        <charset val="1"/>
      </rPr>
      <t xml:space="preserve">※ TM241CE40T(MCC CPU)</t>
    </r>
    <r>
      <rPr>
        <sz val="9"/>
        <color rgb="FF404040"/>
        <rFont val="WenQuanYi Zen Hei"/>
        <family val="2"/>
      </rPr>
      <t xml:space="preserve">는 받은 견적에 없어 추정 단가입니다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실단가를 </t>
    </r>
    <r>
      <rPr>
        <sz val="9"/>
        <color rgb="FF404040"/>
        <rFont val="맑은 고딕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단가표</t>
    </r>
    <r>
      <rPr>
        <sz val="9"/>
        <color rgb="FF404040"/>
        <rFont val="맑은 고딕"/>
        <family val="0"/>
        <charset val="1"/>
      </rPr>
      <t xml:space="preserve">' </t>
    </r>
    <r>
      <rPr>
        <sz val="9"/>
        <color rgb="FF404040"/>
        <rFont val="WenQuanYi Zen Hei"/>
        <family val="2"/>
      </rPr>
      <t xml:space="preserve">노란 칸에 넣으면 </t>
    </r>
    <r>
      <rPr>
        <sz val="9"/>
        <color rgb="FF404040"/>
        <rFont val="맑은 고딕"/>
        <family val="0"/>
        <charset val="1"/>
      </rPr>
      <t xml:space="preserve">BOM·MCC </t>
    </r>
    <r>
      <rPr>
        <sz val="9"/>
        <color rgb="FF404040"/>
        <rFont val="WenQuanYi Zen Hei"/>
        <family val="2"/>
      </rPr>
      <t xml:space="preserve">가격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마진이 모두 자동 반영됩니다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</si>
  <si>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맑은 고딕"/>
        <family val="0"/>
        <charset val="1"/>
      </rPr>
      <t xml:space="preserve">※ AC220V </t>
    </r>
    <r>
      <rPr>
        <sz val="9"/>
        <color rgb="FF404040"/>
        <rFont val="WenQuanYi Zen Hei"/>
        <family val="2"/>
      </rPr>
      <t xml:space="preserve">납품 시에도 </t>
    </r>
    <r>
      <rPr>
        <sz val="9"/>
        <color rgb="FF404040"/>
        <rFont val="맑은 고딕"/>
        <family val="0"/>
        <charset val="1"/>
      </rPr>
      <t xml:space="preserve">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DC24V(TM241CE40T)</t>
    </r>
    <r>
      <rPr>
        <sz val="9"/>
        <color rgb="FF404040"/>
        <rFont val="WenQuanYi Zen Hei"/>
        <family val="2"/>
      </rPr>
      <t xml:space="preserve">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</si>
  <si>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맑은 고딕"/>
        <family val="0"/>
        <charset val="1"/>
      </rPr>
      <t xml:space="preserve">Schneider </t>
    </r>
    <r>
      <rPr>
        <b val="true"/>
        <sz val="14"/>
        <color rgb="FF1F3864"/>
        <rFont val="WenQuanYi Zen Hei"/>
        <family val="2"/>
      </rPr>
      <t xml:space="preserve">제안 검토  —  </t>
    </r>
    <r>
      <rPr>
        <b val="true"/>
        <sz val="14"/>
        <color rgb="FF1F3864"/>
        <rFont val="맑은 고딕"/>
        <family val="0"/>
        <charset val="1"/>
      </rPr>
      <t xml:space="preserve">Techross RFQ 'PLC </t>
    </r>
    <r>
      <rPr>
        <b val="true"/>
        <sz val="14"/>
        <color rgb="FF1F3864"/>
        <rFont val="WenQuanYi Zen Hei"/>
        <family val="2"/>
      </rPr>
      <t xml:space="preserve">사양서 </t>
    </r>
    <r>
      <rPr>
        <b val="true"/>
        <sz val="14"/>
        <color rgb="FF1F3864"/>
        <rFont val="맑은 고딕"/>
        <family val="0"/>
        <charset val="1"/>
      </rPr>
      <t xml:space="preserve">R3.1' </t>
    </r>
    <r>
      <rPr>
        <b val="true"/>
        <sz val="14"/>
        <color rgb="FF1F3864"/>
        <rFont val="WenQuanYi Zen Hei"/>
        <family val="2"/>
      </rPr>
      <t xml:space="preserve">대비</t>
    </r>
  </si>
  <si>
    <r>
      <rPr>
        <sz val="9"/>
        <color rgb="FF595959"/>
        <rFont val="WenQuanYi Zen Hei"/>
        <family val="2"/>
      </rPr>
      <t xml:space="preserve">검토 대상</t>
    </r>
    <r>
      <rPr>
        <sz val="9"/>
        <color rgb="FF595959"/>
        <rFont val="맑은 고딕"/>
        <family val="0"/>
        <charset val="1"/>
      </rPr>
      <t xml:space="preserve">: Schneider 'PLC Configuration for Techross R3.1' (</t>
    </r>
    <r>
      <rPr>
        <sz val="9"/>
        <color rgb="FF595959"/>
        <rFont val="WenQuanYi Zen Hei"/>
        <family val="2"/>
      </rPr>
      <t xml:space="preserve">프로젝트별 구성도</t>
    </r>
    <r>
      <rPr>
        <sz val="9"/>
        <color rgb="FF595959"/>
        <rFont val="맑은 고딕"/>
        <family val="0"/>
        <charset val="1"/>
      </rPr>
      <t xml:space="preserve">) + RFQ Table1 (PLC </t>
    </r>
    <r>
      <rPr>
        <sz val="9"/>
        <color rgb="FF595959"/>
        <rFont val="WenQuanYi Zen Hei"/>
        <family val="2"/>
      </rPr>
      <t xml:space="preserve">세부 내용 표</t>
    </r>
    <r>
      <rPr>
        <sz val="9"/>
        <color rgb="FF595959"/>
        <rFont val="맑은 고딕"/>
        <family val="0"/>
        <charset val="1"/>
      </rPr>
      <t xml:space="preserve">)</t>
    </r>
  </si>
  <si>
    <t xml:space="preserve">○ 적합</t>
  </si>
  <si>
    <t xml:space="preserve">△ 보완 필요</t>
  </si>
  <si>
    <r>
      <rPr>
        <b val="true"/>
        <sz val="9"/>
        <color rgb="FFC00000"/>
        <rFont val="맑은 고딕"/>
        <family val="0"/>
        <charset val="1"/>
      </rPr>
      <t xml:space="preserve">✕ RFQ </t>
    </r>
    <r>
      <rPr>
        <b val="true"/>
        <sz val="9"/>
        <color rgb="FFC00000"/>
        <rFont val="WenQuanYi Zen Hei"/>
        <family val="2"/>
      </rPr>
      <t xml:space="preserve">미충족 — 반드시 수정</t>
    </r>
  </si>
  <si>
    <t xml:space="preserve">No.</t>
  </si>
  <si>
    <t xml:space="preserve">구분</t>
  </si>
  <si>
    <t xml:space="preserve">검토 항목</t>
  </si>
  <si>
    <r>
      <rPr>
        <b val="true"/>
        <sz val="10"/>
        <color rgb="FFFFFFFF"/>
        <rFont val="맑은 고딕"/>
        <family val="0"/>
        <charset val="1"/>
      </rPr>
      <t xml:space="preserve">Techross </t>
    </r>
    <r>
      <rPr>
        <b val="true"/>
        <sz val="10"/>
        <color rgb="FFFFFFFF"/>
        <rFont val="WenQuanYi Zen Hei"/>
        <family val="2"/>
      </rPr>
      <t xml:space="preserve">요구 </t>
    </r>
    <r>
      <rPr>
        <b val="true"/>
        <sz val="10"/>
        <color rgb="FFFFFFFF"/>
        <rFont val="맑은 고딕"/>
        <family val="0"/>
        <charset val="1"/>
      </rPr>
      <t xml:space="preserve">(RFQ)</t>
    </r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</si>
  <si>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제안</t>
    </r>
  </si>
  <si>
    <r>
      <rPr>
        <b val="true"/>
        <sz val="10"/>
        <color rgb="FFFFFFFF"/>
        <rFont val="WenQuanYi Zen Hei"/>
        <family val="2"/>
      </rPr>
      <t xml:space="preserve">수정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요청 사항</t>
    </r>
  </si>
  <si>
    <t xml:space="preserve">구성</t>
  </si>
  <si>
    <r>
      <rPr>
        <b val="true"/>
        <sz val="10"/>
        <color rgb="FF000000"/>
        <rFont val="맑은 고딕"/>
        <family val="0"/>
        <charset val="1"/>
      </rPr>
      <t xml:space="preserve">TSU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</si>
  <si>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6 / Serial 2CH (+10% </t>
    </r>
    <r>
      <rPr>
        <sz val="9"/>
        <color rgb="FF000000"/>
        <rFont val="WenQuanYi Zen Hei"/>
        <family val="2"/>
      </rPr>
      <t xml:space="preserve">여유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</si>
  <si>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TM241C24R (AC) / TM241C24T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Serial 2CH</t>
    </r>
  </si>
  <si>
    <t xml:space="preserve">○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</si>
  <si>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M241 </t>
    </r>
    <r>
      <rPr>
        <sz val="9"/>
        <color rgb="FF000000"/>
        <rFont val="WenQuanYi Zen Hei"/>
        <family val="2"/>
      </rPr>
      <t xml:space="preserve">중 가장 작은 </t>
    </r>
    <r>
      <rPr>
        <sz val="9"/>
        <color rgb="FF000000"/>
        <rFont val="맑은 고딕"/>
        <family val="0"/>
        <charset val="1"/>
      </rPr>
      <t xml:space="preserve">CPU</t>
    </r>
    <r>
      <rPr>
        <sz val="9"/>
        <color rgb="FF000000"/>
        <rFont val="WenQuanYi Zen Hei"/>
        <family val="2"/>
      </rPr>
      <t xml:space="preserve">라 과잉 사양 아님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</si>
  <si>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</si>
  <si>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12 / Serial 2CH (+10% </t>
    </r>
    <r>
      <rPr>
        <sz val="9"/>
        <color rgb="FF000000"/>
        <rFont val="WenQuanYi Zen Hei"/>
        <family val="2"/>
      </rPr>
      <t xml:space="preserve">여유 → 출력 </t>
    </r>
    <r>
      <rPr>
        <sz val="9"/>
        <color rgb="FF000000"/>
        <rFont val="맑은 고딕"/>
        <family val="0"/>
        <charset val="1"/>
      </rPr>
      <t xml:space="preserve">14 </t>
    </r>
    <r>
      <rPr>
        <sz val="9"/>
        <color rgb="FF000000"/>
        <rFont val="WenQuanYi Zen Hei"/>
        <family val="2"/>
      </rPr>
      <t xml:space="preserve">필요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</si>
  <si>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TM241C40R (AC) / TM241C40T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 / Serial 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</si>
  <si>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24</t>
    </r>
    <r>
      <rPr>
        <sz val="9"/>
        <color rgb="FF000000"/>
        <rFont val="WenQuanYi Zen Hei"/>
        <family val="2"/>
      </rPr>
      <t xml:space="preserve">점 </t>
    </r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점 모듈보다 싸서 가격면에서도 맞는 선택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</si>
  <si>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ANU-S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</si>
  <si>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1CH / Serial 2CH</t>
    </r>
  </si>
  <si>
    <r>
      <rPr>
        <sz val="9"/>
        <color rgb="FF000000"/>
        <rFont val="맑은 고딕"/>
        <family val="0"/>
        <charset val="1"/>
      </rPr>
      <t xml:space="preserve">TM241C24R·C24T + TM3AQ2: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</si>
  <si>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(M241</t>
    </r>
    <r>
      <rPr>
        <sz val="9"/>
        <color rgb="FF000000"/>
        <rFont val="WenQuanYi Zen Hei"/>
        <family val="2"/>
      </rPr>
      <t xml:space="preserve">에는 아날로그 출력이 내장되어 있지 않아 </t>
    </r>
    <r>
      <rPr>
        <sz val="9"/>
        <color rgb="FF000000"/>
        <rFont val="맑은 고딕"/>
        <family val="0"/>
        <charset val="1"/>
      </rPr>
      <t xml:space="preserve">TM3AQ2 </t>
    </r>
    <r>
      <rPr>
        <sz val="9"/>
        <color rgb="FF000000"/>
        <rFont val="WenQuanYi Zen Hei"/>
        <family val="2"/>
      </rPr>
      <t xml:space="preserve">추가가 맞음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</si>
  <si>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출력 방식</t>
    </r>
  </si>
  <si>
    <r>
      <rPr>
        <sz val="9"/>
        <color rgb="FF000000"/>
        <rFont val="맑은 고딕"/>
        <family val="0"/>
        <charset val="1"/>
      </rPr>
      <t xml:space="preserve">Relay·TR </t>
    </r>
    <r>
      <rPr>
        <sz val="9"/>
        <color rgb="FF000000"/>
        <rFont val="WenQuanYi Zen Hei"/>
        <family val="2"/>
      </rPr>
      <t xml:space="preserve">무관 </t>
    </r>
    <r>
      <rPr>
        <sz val="9"/>
        <color rgb="FF000000"/>
        <rFont val="맑은 고딕"/>
        <family val="0"/>
        <charset val="1"/>
      </rPr>
      <t xml:space="preserve">(Techross </t>
    </r>
    <r>
      <rPr>
        <sz val="9"/>
        <color rgb="FF000000"/>
        <rFont val="WenQuanYi Zen Hei"/>
        <family val="2"/>
      </rPr>
      <t xml:space="preserve">확인</t>
    </r>
    <r>
      <rPr>
        <sz val="9"/>
        <color rgb="FF000000"/>
        <rFont val="맑은 고딕"/>
        <family val="0"/>
        <charset val="1"/>
      </rPr>
      <t xml:space="preserve">, 2026-10-06)</t>
    </r>
  </si>
  <si>
    <r>
      <rPr>
        <sz val="9"/>
        <color rgb="FF000000"/>
        <rFont val="WenQuanYi Zen Hei"/>
        <family val="2"/>
      </rPr>
      <t xml:space="preserve">트랜지스터 출력 </t>
    </r>
    <r>
      <rPr>
        <sz val="9"/>
        <color rgb="FF000000"/>
        <rFont val="맑은 고딕"/>
        <family val="0"/>
        <charset val="1"/>
      </rPr>
      <t xml:space="preserve">(TM241CE40T </t>
    </r>
    <r>
      <rPr>
        <sz val="9"/>
        <color rgb="FF000000"/>
        <rFont val="WenQuanYi Zen Hei"/>
        <family val="2"/>
      </rPr>
      <t xml:space="preserve">내장 </t>
    </r>
    <r>
      <rPr>
        <sz val="9"/>
        <color rgb="FF000000"/>
        <rFont val="맑은 고딕"/>
        <family val="0"/>
        <charset val="1"/>
      </rPr>
      <t xml:space="preserve">TR + TM3DQ16T + TM3DQ8T)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</si>
  <si>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RFQ </t>
    </r>
    <r>
      <rPr>
        <sz val="9"/>
        <color rgb="FF000000"/>
        <rFont val="WenQuanYi Zen Hei"/>
        <family val="2"/>
      </rPr>
      <t xml:space="preserve">문서의 </t>
    </r>
    <r>
      <rPr>
        <sz val="9"/>
        <color rgb="FF000000"/>
        <rFont val="맑은 고딕"/>
        <family val="0"/>
        <charset val="1"/>
      </rPr>
      <t xml:space="preserve">'Relay Type Only'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Techross</t>
    </r>
    <r>
      <rPr>
        <sz val="9"/>
        <color rgb="FF000000"/>
        <rFont val="WenQuanYi Zen Hei"/>
        <family val="2"/>
      </rPr>
      <t xml:space="preserve">가 무관하다고 확인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</si>
  <si>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I/O </t>
    </r>
    <r>
      <rPr>
        <b val="true"/>
        <sz val="10"/>
        <color rgb="FF000000"/>
        <rFont val="WenQuanYi Zen Hei"/>
        <family val="2"/>
      </rPr>
      <t xml:space="preserve">점수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</si>
  <si>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 (Techross </t>
    </r>
    <r>
      <rPr>
        <sz val="9"/>
        <color rgb="FF000000"/>
        <rFont val="WenQuanYi Zen Hei"/>
        <family val="2"/>
      </rPr>
      <t xml:space="preserve">확인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</si>
  <si>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</si>
  <si>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RFQ </t>
    </r>
    <r>
      <rPr>
        <sz val="9"/>
        <color rgb="FF000000"/>
        <rFont val="WenQuanYi Zen Hei"/>
        <family val="2"/>
      </rPr>
      <t xml:space="preserve">문서의 </t>
    </r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현행 유지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대신 제안 점수가 맞다고 </t>
    </r>
    <r>
      <rPr>
        <sz val="9"/>
        <color rgb="FF000000"/>
        <rFont val="맑은 고딕"/>
        <family val="0"/>
        <charset val="1"/>
      </rPr>
      <t xml:space="preserve">Techross </t>
    </r>
    <r>
      <rPr>
        <sz val="9"/>
        <color rgb="FF000000"/>
        <rFont val="WenQuanYi Zen Hei"/>
        <family val="2"/>
      </rPr>
      <t xml:space="preserve">확인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</si>
  <si>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통신</t>
    </r>
  </si>
  <si>
    <t xml:space="preserve">Serial 1CH + Ethernet 1CH</t>
  </si>
  <si>
    <t xml:space="preserve">TM241CE40T: Serial 2CH + Ethernet 1CH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</si>
  <si>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</si>
  <si>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확장 모듈 수</t>
    </r>
  </si>
  <si>
    <r>
      <rPr>
        <sz val="9"/>
        <color rgb="FF000000"/>
        <rFont val="맑은 고딕"/>
        <family val="0"/>
        <charset val="1"/>
      </rPr>
      <t xml:space="preserve">M241 </t>
    </r>
    <r>
      <rPr>
        <sz val="9"/>
        <color rgb="FF000000"/>
        <rFont val="WenQuanYi Zen Hei"/>
        <family val="2"/>
      </rPr>
      <t xml:space="preserve">로컬 확장 최대 </t>
    </r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</t>
    </r>
  </si>
  <si>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개</t>
    </r>
  </si>
  <si>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 이내 → 버스 확장 불필요</t>
    </r>
    <r>
      <rPr>
        <sz val="9"/>
        <color rgb="FF000000"/>
        <rFont val="맑은 고딕"/>
        <family val="0"/>
        <charset val="1"/>
      </rPr>
      <t xml:space="preserve">.</t>
    </r>
  </si>
  <si>
    <t xml:space="preserve">공통</t>
  </si>
  <si>
    <t xml:space="preserve">정격 전압</t>
  </si>
  <si>
    <r>
      <rPr>
        <sz val="9"/>
        <color rgb="FF000000"/>
        <rFont val="맑은 고딕"/>
        <family val="0"/>
        <charset val="1"/>
      </rPr>
      <t xml:space="preserve">TSU·ANU·ANU-S: AC220V, DC24V </t>
    </r>
    <r>
      <rPr>
        <sz val="9"/>
        <color rgb="FF000000"/>
        <rFont val="WenQuanYi Zen Hei"/>
        <family val="2"/>
      </rPr>
      <t xml:space="preserve">각각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</si>
  <si>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sz val="9"/>
        <color rgb="FF000000"/>
        <rFont val="맑은 고딕"/>
        <family val="0"/>
        <charset val="1"/>
      </rPr>
      <t xml:space="preserve">TSU·ANU·ANU-S: AC·DC </t>
    </r>
    <r>
      <rPr>
        <sz val="9"/>
        <color rgb="FF000000"/>
        <rFont val="WenQuanYi Zen Hei"/>
        <family val="2"/>
      </rPr>
      <t xml:space="preserve">각각 제안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</si>
  <si>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b val="true"/>
        <sz val="10"/>
        <color rgb="FF000000"/>
        <rFont val="맑은 고딕"/>
        <family val="0"/>
        <charset val="1"/>
      </rPr>
      <t xml:space="preserve">I/O </t>
    </r>
    <r>
      <rPr>
        <b val="true"/>
        <sz val="10"/>
        <color rgb="FF000000"/>
        <rFont val="WenQuanYi Zen Hei"/>
        <family val="2"/>
      </rPr>
      <t xml:space="preserve">모델 </t>
    </r>
    <r>
      <rPr>
        <b val="true"/>
        <sz val="10"/>
        <color rgb="FF000000"/>
        <rFont val="맑은 고딕"/>
        <family val="0"/>
        <charset val="1"/>
      </rPr>
      <t xml:space="preserve">(RFQ #1 </t>
    </r>
    <r>
      <rPr>
        <b val="true"/>
        <sz val="10"/>
        <color rgb="FF000000"/>
        <rFont val="WenQuanYi Zen Hei"/>
        <family val="2"/>
      </rPr>
      <t xml:space="preserve">후보군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</si>
  <si>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Schneider </t>
    </r>
    <r>
      <rPr>
        <sz val="9"/>
        <color rgb="FF000000"/>
        <rFont val="WenQuanYi Zen Hei"/>
        <family val="2"/>
      </rPr>
      <t xml:space="preserve">후보</t>
    </r>
    <r>
      <rPr>
        <sz val="9"/>
        <color rgb="FF000000"/>
        <rFont val="맑은 고딕"/>
        <family val="0"/>
        <charset val="1"/>
      </rPr>
      <t xml:space="preserve">: TM3DI8, TM3DQ8R/T/U, TM3AI2H, TM3AQ2 (16·4CH </t>
    </r>
    <r>
      <rPr>
        <sz val="9"/>
        <color rgb="FF000000"/>
        <rFont val="WenQuanYi Zen Hei"/>
        <family val="2"/>
      </rPr>
      <t xml:space="preserve">포함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</si>
  <si>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TM3DI16, TM3DI8, TM3DQ16T, TM3DQ8T, TM3AQ2</t>
  </si>
  <si>
    <r>
      <rPr>
        <sz val="9"/>
        <color rgb="FF000000"/>
        <rFont val="WenQuanYi Zen Hei"/>
        <family val="2"/>
      </rPr>
      <t xml:space="preserve">후보군 안에서 선택함</t>
    </r>
    <r>
      <rPr>
        <sz val="9"/>
        <color rgb="FF000000"/>
        <rFont val="맑은 고딕"/>
        <family val="0"/>
        <charset val="1"/>
      </rPr>
      <t xml:space="preserve">. MCC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T </t>
    </r>
    <r>
      <rPr>
        <sz val="9"/>
        <color rgb="FF000000"/>
        <rFont val="WenQuanYi Zen Hei"/>
        <family val="2"/>
      </rPr>
      <t xml:space="preserve">타입 → </t>
    </r>
    <r>
      <rPr>
        <sz val="9"/>
        <color rgb="FF000000"/>
        <rFont val="맑은 고딕"/>
        <family val="0"/>
        <charset val="1"/>
      </rPr>
      <t xml:space="preserve">R </t>
    </r>
    <r>
      <rPr>
        <sz val="9"/>
        <color rgb="FF000000"/>
        <rFont val="WenQuanYi Zen Hei"/>
        <family val="2"/>
      </rPr>
      <t xml:space="preserve">타입으로만 바꾸면 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</si>
  <si>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안 릴레이 수</t>
    </r>
  </si>
  <si>
    <r>
      <rPr>
        <sz val="9"/>
        <color rgb="FF000000"/>
        <rFont val="맑은 고딕"/>
        <family val="0"/>
        <charset val="1"/>
      </rPr>
      <t xml:space="preserve">TSU·ANU·ANU-S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Relay·TR </t>
    </r>
    <r>
      <rPr>
        <sz val="9"/>
        <color rgb="FF000000"/>
        <rFont val="WenQuanYi Zen Hei"/>
        <family val="2"/>
      </rPr>
      <t xml:space="preserve">둘 다 가능</t>
    </r>
  </si>
  <si>
    <r>
      <rPr>
        <sz val="9"/>
        <color rgb="FF000000"/>
        <rFont val="맑은 고딕"/>
        <family val="0"/>
        <charset val="1"/>
      </rPr>
      <t xml:space="preserve">TM241C24R: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6 + TR 4 / TM241C40R: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12 + TR 4</t>
    </r>
  </si>
  <si>
    <r>
      <rPr>
        <sz val="9"/>
        <color rgb="FF000000"/>
        <rFont val="맑은 고딕"/>
        <family val="0"/>
        <charset val="1"/>
      </rPr>
      <t xml:space="preserve">RFQ</t>
    </r>
    <r>
      <rPr>
        <sz val="9"/>
        <color rgb="FF000000"/>
        <rFont val="WenQuanYi Zen Hei"/>
        <family val="2"/>
      </rPr>
      <t xml:space="preserve">상 문제없음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단 </t>
    </r>
    <r>
      <rPr>
        <sz val="9"/>
        <color rgb="FF000000"/>
        <rFont val="맑은 고딕"/>
        <family val="0"/>
        <charset val="1"/>
      </rPr>
      <t xml:space="preserve">TSU·ANU AC</t>
    </r>
    <r>
      <rPr>
        <sz val="9"/>
        <color rgb="FF000000"/>
        <rFont val="WenQuanYi Zen Hei"/>
        <family val="2"/>
      </rPr>
      <t xml:space="preserve">안은 릴레이가 필수 점수와 딱 같아서 여유분은 </t>
    </r>
    <r>
      <rPr>
        <sz val="9"/>
        <color rgb="FF000000"/>
        <rFont val="맑은 고딕"/>
        <family val="0"/>
        <charset val="1"/>
      </rPr>
      <t xml:space="preserve">TR — Techross</t>
    </r>
    <r>
      <rPr>
        <sz val="9"/>
        <color rgb="FF000000"/>
        <rFont val="WenQuanYi Zen Hei"/>
        <family val="2"/>
      </rPr>
      <t xml:space="preserve">에 알려줄 것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</si>
  <si>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언어</t>
    </r>
  </si>
  <si>
    <r>
      <rPr>
        <sz val="9"/>
        <color rgb="FF000000"/>
        <rFont val="맑은 고딕"/>
        <family val="0"/>
        <charset val="1"/>
      </rPr>
      <t xml:space="preserve">ST </t>
    </r>
    <r>
      <rPr>
        <sz val="9"/>
        <color rgb="FF000000"/>
        <rFont val="WenQuanYi Zen Hei"/>
        <family val="2"/>
      </rPr>
      <t xml:space="preserve">사용 가능해야 함</t>
    </r>
  </si>
  <si>
    <r>
      <rPr>
        <sz val="9"/>
        <color rgb="FF000000"/>
        <rFont val="맑은 고딕"/>
        <family val="0"/>
        <charset val="1"/>
      </rPr>
      <t xml:space="preserve">EcoStruxure Machine Expert (IEC 61131-3 → ST </t>
    </r>
    <r>
      <rPr>
        <sz val="9"/>
        <color rgb="FF000000"/>
        <rFont val="WenQuanYi Zen Hei"/>
        <family val="2"/>
      </rPr>
      <t xml:space="preserve">지원</t>
    </r>
    <r>
      <rPr>
        <sz val="9"/>
        <color rgb="FF000000"/>
        <rFont val="맑은 고딕"/>
        <family val="0"/>
        <charset val="1"/>
      </rPr>
      <t xml:space="preserve">)</t>
    </r>
  </si>
  <si>
    <t xml:space="preserve">△</t>
  </si>
  <si>
    <r>
      <rPr>
        <b val="true"/>
        <sz val="9"/>
        <color rgb="FF7F6000"/>
        <rFont val="WenQuanYi Zen Hei"/>
        <family val="2"/>
      </rPr>
      <t xml:space="preserve">제품은 지원하지만 제안서에 </t>
    </r>
    <r>
      <rPr>
        <b val="true"/>
        <sz val="9"/>
        <color rgb="FF7F6000"/>
        <rFont val="맑은 고딕"/>
        <family val="0"/>
        <charset val="1"/>
      </rPr>
      <t xml:space="preserve">'ST </t>
    </r>
    <r>
      <rPr>
        <b val="true"/>
        <sz val="9"/>
        <color rgb="FF7F6000"/>
        <rFont val="WenQuanYi Zen Hei"/>
        <family val="2"/>
      </rPr>
      <t xml:space="preserve">지원</t>
    </r>
    <r>
      <rPr>
        <b val="true"/>
        <sz val="9"/>
        <color rgb="FF7F6000"/>
        <rFont val="맑은 고딕"/>
        <family val="0"/>
        <charset val="1"/>
      </rPr>
      <t xml:space="preserve">' </t>
    </r>
    <r>
      <rPr>
        <b val="true"/>
        <sz val="9"/>
        <color rgb="FF7F6000"/>
        <rFont val="WenQuanYi Zen Hei"/>
        <family val="2"/>
      </rPr>
      <t xml:space="preserve">문구가 없음 → 한 줄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</si>
  <si>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제안 가격</t>
  </si>
  <si>
    <r>
      <rPr>
        <sz val="9"/>
        <color rgb="FF000000"/>
        <rFont val="맑은 고딕"/>
        <family val="0"/>
        <charset val="1"/>
      </rPr>
      <t xml:space="preserve">2027</t>
    </r>
    <r>
      <rPr>
        <sz val="9"/>
        <color rgb="FF000000"/>
        <rFont val="WenQuanYi Zen Hei"/>
        <family val="2"/>
      </rPr>
      <t xml:space="preserve">년 가격 기준 </t>
    </r>
    <r>
      <rPr>
        <sz val="9"/>
        <color rgb="FF000000"/>
        <rFont val="맑은 고딕"/>
        <family val="0"/>
        <charset val="1"/>
      </rPr>
      <t xml:space="preserve">+ Benefit </t>
    </r>
    <r>
      <rPr>
        <sz val="9"/>
        <color rgb="FF000000"/>
        <rFont val="WenQuanYi Zen Hei"/>
        <family val="2"/>
      </rPr>
      <t xml:space="preserve">기재</t>
    </r>
  </si>
  <si>
    <r>
      <rPr>
        <sz val="9"/>
        <color rgb="FF000000"/>
        <rFont val="맑은 고딕"/>
        <family val="0"/>
        <charset val="1"/>
      </rPr>
      <t xml:space="preserve">Table1 '</t>
    </r>
    <r>
      <rPr>
        <sz val="9"/>
        <color rgb="FF000000"/>
        <rFont val="WenQuanYi Zen Hei"/>
        <family val="2"/>
      </rPr>
      <t xml:space="preserve">제안 가격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칸 공란</t>
    </r>
  </si>
  <si>
    <t xml:space="preserve">✕</t>
  </si>
  <si>
    <r>
      <rPr>
        <b val="true"/>
        <sz val="9"/>
        <color rgb="FFC00000"/>
        <rFont val="WenQuanYi Zen Hei"/>
        <family val="2"/>
      </rPr>
      <t xml:space="preserve">프로젝트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전원별 가격을 </t>
    </r>
    <r>
      <rPr>
        <b val="true"/>
        <sz val="9"/>
        <color rgb="FFC00000"/>
        <rFont val="맑은 고딕"/>
        <family val="0"/>
        <charset val="1"/>
      </rPr>
      <t xml:space="preserve">2027</t>
    </r>
    <r>
      <rPr>
        <b val="true"/>
        <sz val="9"/>
        <color rgb="FFC00000"/>
        <rFont val="WenQuanYi Zen Hei"/>
        <family val="2"/>
      </rPr>
      <t xml:space="preserve">년 기준으로 기입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</si>
  <si>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Reference</t>
  </si>
  <si>
    <r>
      <rPr>
        <sz val="9"/>
        <color rgb="FF000000"/>
        <rFont val="WenQuanYi Zen Hei"/>
        <family val="2"/>
      </rPr>
      <t xml:space="preserve">제안 </t>
    </r>
    <r>
      <rPr>
        <sz val="9"/>
        <color rgb="FF000000"/>
        <rFont val="맑은 고딕"/>
        <family val="0"/>
        <charset val="1"/>
      </rPr>
      <t xml:space="preserve">CPU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조선 관련 권장</t>
    </r>
  </si>
  <si>
    <r>
      <rPr>
        <sz val="9"/>
        <color rgb="FF000000"/>
        <rFont val="WenQuanYi Zen Hei"/>
        <family val="2"/>
      </rPr>
      <t xml:space="preserve">분야명만 기재 </t>
    </r>
    <r>
      <rPr>
        <sz val="9"/>
        <color rgb="FF000000"/>
        <rFont val="맑은 고딕"/>
        <family val="0"/>
        <charset val="1"/>
      </rPr>
      <t xml:space="preserve">(Marine Energy Saving System, Marine Crane, Marine Scrubber)</t>
    </r>
  </si>
  <si>
    <r>
      <rPr>
        <b val="true"/>
        <sz val="9"/>
        <color rgb="FF7F6000"/>
        <rFont val="맑은 고딕"/>
        <family val="0"/>
        <charset val="1"/>
      </rPr>
      <t xml:space="preserve">M241 </t>
    </r>
    <r>
      <rPr>
        <b val="true"/>
        <sz val="9"/>
        <color rgb="FF7F6000"/>
        <rFont val="WenQuanYi Zen Hei"/>
        <family val="2"/>
      </rPr>
      <t xml:space="preserve">적용 고객사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선박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프로젝트명 등 구체적인 실적으로 보완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</si>
  <si>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선급 인증</t>
  </si>
  <si>
    <r>
      <rPr>
        <sz val="9"/>
        <color rgb="FF000000"/>
        <rFont val="맑은 고딕"/>
        <family val="0"/>
        <charset val="1"/>
      </rPr>
      <t xml:space="preserve">(RFQ Table1 </t>
    </r>
    <r>
      <rPr>
        <sz val="9"/>
        <color rgb="FF000000"/>
        <rFont val="WenQuanYi Zen Hei"/>
        <family val="2"/>
      </rPr>
      <t xml:space="preserve">항목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</si>
  <si>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LR, ABS, DNV-GL, KR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</si>
  <si>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인증서 사본 첨부 권장 </t>
    </r>
    <r>
      <rPr>
        <sz val="9"/>
        <color rgb="FF000000"/>
        <rFont val="맑은 고딕"/>
        <family val="0"/>
        <charset val="1"/>
      </rPr>
      <t xml:space="preserve">(DNV-GL</t>
    </r>
    <r>
      <rPr>
        <sz val="9"/>
        <color rgb="FF000000"/>
        <rFont val="WenQuanYi Zen Hei"/>
        <family val="2"/>
      </rPr>
      <t xml:space="preserve">은 현재 </t>
    </r>
    <r>
      <rPr>
        <sz val="9"/>
        <color rgb="FF000000"/>
        <rFont val="맑은 고딕"/>
        <family val="0"/>
        <charset val="1"/>
      </rPr>
      <t xml:space="preserve">'DNV'</t>
    </r>
    <r>
      <rPr>
        <sz val="9"/>
        <color rgb="FF000000"/>
        <rFont val="WenQuanYi Zen Hei"/>
        <family val="2"/>
      </rPr>
      <t xml:space="preserve">로 명칭 변경됨</t>
    </r>
    <r>
      <rPr>
        <sz val="9"/>
        <color rgb="FF000000"/>
        <rFont val="맑은 고딕"/>
        <family val="0"/>
        <charset val="1"/>
      </rPr>
      <t xml:space="preserve">).</t>
    </r>
  </si>
  <si>
    <t xml:space="preserve">서류</t>
  </si>
  <si>
    <r>
      <rPr>
        <b val="true"/>
        <sz val="10"/>
        <color rgb="FF000000"/>
        <rFont val="WenQuanYi Zen Hei"/>
        <family val="2"/>
      </rPr>
      <t xml:space="preserve">구성도 </t>
    </r>
    <r>
      <rPr>
        <b val="true"/>
        <sz val="10"/>
        <color rgb="FF000000"/>
        <rFont val="맑은 고딕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</si>
  <si>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프로젝트별 </t>
    </r>
    <r>
      <rPr>
        <sz val="9"/>
        <color rgb="FF000000"/>
        <rFont val="맑은 고딕"/>
        <family val="0"/>
        <charset val="1"/>
      </rPr>
      <t xml:space="preserve">PLC </t>
    </r>
    <r>
      <rPr>
        <sz val="9"/>
        <color rgb="FF000000"/>
        <rFont val="WenQuanYi Zen Hei"/>
        <family val="2"/>
      </rPr>
      <t xml:space="preserve">구성도 각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</si>
  <si>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슬라이드 </t>
    </r>
    <r>
      <rPr>
        <sz val="9"/>
        <color rgb="FF000000"/>
        <rFont val="맑은 고딕"/>
        <family val="0"/>
        <charset val="1"/>
      </rPr>
      <t xml:space="preserve">3~6 (</t>
    </r>
    <r>
      <rPr>
        <sz val="9"/>
        <color rgb="FF000000"/>
        <rFont val="WenQuanYi Zen Hei"/>
        <family val="2"/>
      </rPr>
      <t xml:space="preserve">사진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표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</si>
  <si>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맑은 고딕"/>
        <family val="0"/>
        <charset val="1"/>
      </rPr>
      <t xml:space="preserve">ANU-S </t>
    </r>
    <r>
      <rPr>
        <b val="true"/>
        <sz val="9"/>
        <color rgb="FF7F6000"/>
        <rFont val="WenQuanYi Zen Hei"/>
        <family val="2"/>
      </rPr>
      <t xml:space="preserve">슬라이드 필수사항이 </t>
    </r>
    <r>
      <rPr>
        <b val="true"/>
        <sz val="9"/>
        <color rgb="FF7F6000"/>
        <rFont val="맑은 고딕"/>
        <family val="0"/>
        <charset val="1"/>
      </rPr>
      <t xml:space="preserve">DI 6 / DO 12</t>
    </r>
    <r>
      <rPr>
        <b val="true"/>
        <sz val="9"/>
        <color rgb="FF7F6000"/>
        <rFont val="WenQuanYi Zen Hei"/>
        <family val="2"/>
      </rPr>
      <t xml:space="preserve">로 잘못 적힘 </t>
    </r>
    <r>
      <rPr>
        <b val="true"/>
        <sz val="9"/>
        <color rgb="FF7F6000"/>
        <rFont val="맑은 고딕"/>
        <family val="0"/>
        <charset val="1"/>
      </rPr>
      <t xml:space="preserve">(RFQ: DI 3 / DO 5). MCC </t>
    </r>
    <r>
      <rPr>
        <b val="true"/>
        <sz val="9"/>
        <color rgb="FF7F6000"/>
        <rFont val="WenQuanYi Zen Hei"/>
        <family val="2"/>
      </rPr>
      <t xml:space="preserve">슬라이드는 </t>
    </r>
    <r>
      <rPr>
        <b val="true"/>
        <sz val="9"/>
        <color rgb="FF7F6000"/>
        <rFont val="맑은 고딕"/>
        <family val="0"/>
        <charset val="1"/>
      </rPr>
      <t xml:space="preserve">'TM3DI18' </t>
    </r>
    <r>
      <rPr>
        <b val="true"/>
        <sz val="9"/>
        <color rgb="FF7F6000"/>
        <rFont val="WenQuanYi Zen Hei"/>
        <family val="2"/>
      </rPr>
      <t xml:space="preserve">오기</t>
    </r>
    <r>
      <rPr>
        <b val="true"/>
        <sz val="9"/>
        <color rgb="FF7F6000"/>
        <rFont val="맑은 고딕"/>
        <family val="0"/>
        <charset val="1"/>
      </rPr>
      <t xml:space="preserve">(→ TM3DI8), </t>
    </r>
    <r>
      <rPr>
        <b val="true"/>
        <sz val="9"/>
        <color rgb="FF7F6000"/>
        <rFont val="WenQuanYi Zen Hei"/>
        <family val="2"/>
      </rPr>
      <t xml:space="preserve">필수사항 표 없음</t>
    </r>
    <r>
      <rPr>
        <b val="true"/>
        <sz val="9"/>
        <color rgb="FF7F6000"/>
        <rFont val="맑은 고딕"/>
        <family val="0"/>
        <charset val="1"/>
      </rPr>
      <t xml:space="preserve">, </t>
    </r>
    <r>
      <rPr>
        <b val="true"/>
        <sz val="9"/>
        <color rgb="FF7F6000"/>
        <rFont val="WenQuanYi Zen Hei"/>
        <family val="2"/>
      </rPr>
      <t xml:space="preserve">사진이 릴레이 </t>
    </r>
    <r>
      <rPr>
        <b val="true"/>
        <sz val="9"/>
        <color rgb="FF7F6000"/>
        <rFont val="맑은 고딕"/>
        <family val="0"/>
        <charset val="1"/>
      </rPr>
      <t xml:space="preserve">CPU</t>
    </r>
    <r>
      <rPr>
        <b val="true"/>
        <sz val="9"/>
        <color rgb="FF7F6000"/>
        <rFont val="WenQuanYi Zen Hei"/>
        <family val="2"/>
      </rPr>
      <t xml:space="preserve">라 표 내용과 다름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</si>
  <si>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세부 내용 표</t>
    </r>
  </si>
  <si>
    <r>
      <rPr>
        <sz val="9"/>
        <color rgb="FF000000"/>
        <rFont val="맑은 고딕"/>
        <family val="0"/>
        <charset val="1"/>
      </rPr>
      <t xml:space="preserve">Table1 </t>
    </r>
    <r>
      <rPr>
        <sz val="9"/>
        <color rgb="FF000000"/>
        <rFont val="WenQuanYi Zen Hei"/>
        <family val="2"/>
      </rPr>
      <t xml:space="preserve">작성</t>
    </r>
  </si>
  <si>
    <t xml:space="preserve">작성했으나 오류 있음</t>
  </si>
  <si>
    <r>
      <rPr>
        <b val="true"/>
        <sz val="9"/>
        <color rgb="FF7F6000"/>
        <rFont val="WenQuanYi Zen Hei"/>
        <family val="2"/>
      </rPr>
      <t xml:space="preserve">치수</t>
    </r>
    <r>
      <rPr>
        <b val="true"/>
        <sz val="9"/>
        <color rgb="FF7F6000"/>
        <rFont val="맑은 고딕"/>
        <family val="0"/>
        <charset val="1"/>
      </rPr>
      <t xml:space="preserve">: ANU-S AC</t>
    </r>
    <r>
      <rPr>
        <b val="true"/>
        <sz val="9"/>
        <color rgb="FF7F6000"/>
        <rFont val="WenQuanYi Zen Hei"/>
        <family val="2"/>
      </rPr>
      <t xml:space="preserve">가 </t>
    </r>
    <r>
      <rPr>
        <b val="true"/>
        <sz val="9"/>
        <color rgb="FF7F6000"/>
        <rFont val="맑은 고딕"/>
        <family val="0"/>
        <charset val="1"/>
      </rPr>
      <t xml:space="preserve">190mm(C24R</t>
    </r>
    <r>
      <rPr>
        <b val="true"/>
        <sz val="9"/>
        <color rgb="FF7F6000"/>
        <rFont val="WenQuanYi Zen Hei"/>
        <family val="2"/>
      </rPr>
      <t xml:space="preserve">은 </t>
    </r>
    <r>
      <rPr>
        <b val="true"/>
        <sz val="9"/>
        <color rgb="FF7F6000"/>
        <rFont val="맑은 고딕"/>
        <family val="0"/>
        <charset val="1"/>
      </rPr>
      <t xml:space="preserve">150mm), ANU-S DC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1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2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, MCC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6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5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. Benefit</t>
    </r>
    <r>
      <rPr>
        <b val="true"/>
        <sz val="9"/>
        <color rgb="FF7F6000"/>
        <rFont val="WenQuanYi Zen Hei"/>
        <family val="2"/>
      </rPr>
      <t xml:space="preserve">에 </t>
    </r>
    <r>
      <rPr>
        <b val="true"/>
        <sz val="9"/>
        <color rgb="FF7F6000"/>
        <rFont val="맑은 고딕"/>
        <family val="0"/>
        <charset val="1"/>
      </rPr>
      <t xml:space="preserve">RFQ</t>
    </r>
    <r>
      <rPr>
        <b val="true"/>
        <sz val="9"/>
        <color rgb="FF7F6000"/>
        <rFont val="WenQuanYi Zen Hei"/>
        <family val="2"/>
      </rPr>
      <t xml:space="preserve">에 없는 </t>
    </r>
    <r>
      <rPr>
        <b val="true"/>
        <sz val="9"/>
        <color rgb="FF7F6000"/>
        <rFont val="맑은 고딕"/>
        <family val="0"/>
        <charset val="1"/>
      </rPr>
      <t xml:space="preserve">'PDE' </t>
    </r>
    <r>
      <rPr>
        <b val="true"/>
        <sz val="9"/>
        <color rgb="FF7F6000"/>
        <rFont val="WenQuanYi Zen Hei"/>
        <family val="2"/>
      </rPr>
      <t xml:space="preserve">기재</t>
    </r>
    <r>
      <rPr>
        <b val="true"/>
        <sz val="9"/>
        <color rgb="FF7F6000"/>
        <rFont val="맑은 고딕"/>
        <family val="0"/>
        <charset val="1"/>
      </rPr>
      <t xml:space="preserve">, MCC </t>
    </r>
    <r>
      <rPr>
        <b val="true"/>
        <sz val="9"/>
        <color rgb="FF7F6000"/>
        <rFont val="WenQuanYi Zen Hei"/>
        <family val="2"/>
      </rPr>
      <t xml:space="preserve">빠짐</t>
    </r>
    <r>
      <rPr>
        <b val="true"/>
        <sz val="9"/>
        <color rgb="FF7F6000"/>
        <rFont val="맑은 고딕"/>
        <family val="0"/>
        <charset val="1"/>
      </rPr>
      <t xml:space="preserve">. </t>
    </r>
    <r>
      <rPr>
        <b val="true"/>
        <sz val="9"/>
        <color rgb="FF7F6000"/>
        <rFont val="WenQuanYi Zen Hei"/>
        <family val="2"/>
      </rPr>
      <t xml:space="preserve">표가 길어서 </t>
    </r>
    <r>
      <rPr>
        <b val="true"/>
        <sz val="9"/>
        <color rgb="FF7F6000"/>
        <rFont val="맑은 고딕"/>
        <family val="0"/>
        <charset val="1"/>
      </rPr>
      <t xml:space="preserve">'</t>
    </r>
    <r>
      <rPr>
        <b val="true"/>
        <sz val="9"/>
        <color rgb="FF7F6000"/>
        <rFont val="WenQuanYi Zen Hei"/>
        <family val="2"/>
      </rPr>
      <t xml:space="preserve">제안 가격</t>
    </r>
    <r>
      <rPr>
        <b val="true"/>
        <sz val="9"/>
        <color rgb="FF7F6000"/>
        <rFont val="맑은 고딕"/>
        <family val="0"/>
        <charset val="1"/>
      </rPr>
      <t xml:space="preserve">'·'Benefit' </t>
    </r>
    <r>
      <rPr>
        <b val="true"/>
        <sz val="9"/>
        <color rgb="FF7F6000"/>
        <rFont val="WenQuanYi Zen Hei"/>
        <family val="2"/>
      </rPr>
      <t xml:space="preserve">행이 슬라이드 밖으로 잘림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</si>
  <si>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외형도 </t>
    </r>
    <r>
      <rPr>
        <b val="true"/>
        <sz val="10"/>
        <color rgb="FF000000"/>
        <rFont val="맑은 고딕"/>
        <family val="0"/>
        <charset val="1"/>
      </rPr>
      <t xml:space="preserve">(CAD)</t>
    </r>
  </si>
  <si>
    <r>
      <rPr>
        <sz val="9"/>
        <color rgb="FF000000"/>
        <rFont val="WenQuanYi Zen Hei"/>
        <family val="2"/>
      </rPr>
      <t xml:space="preserve">프로젝트별 외형도 </t>
    </r>
    <r>
      <rPr>
        <sz val="9"/>
        <color rgb="FF000000"/>
        <rFont val="맑은 고딕"/>
        <family val="0"/>
        <charset val="1"/>
      </rPr>
      <t xml:space="preserve">CAD </t>
    </r>
    <r>
      <rPr>
        <sz val="9"/>
        <color rgb="FF000000"/>
        <rFont val="WenQuanYi Zen Hei"/>
        <family val="2"/>
      </rPr>
      <t xml:space="preserve">파일</t>
    </r>
  </si>
  <si>
    <t xml:space="preserve">제안서에 없음</t>
  </si>
  <si>
    <r>
      <rPr>
        <b val="true"/>
        <sz val="9"/>
        <color rgb="FFC00000"/>
        <rFont val="맑은 고딕"/>
        <family val="0"/>
        <charset val="1"/>
      </rPr>
      <t xml:space="preserve">CAD </t>
    </r>
    <r>
      <rPr>
        <b val="true"/>
        <sz val="9"/>
        <color rgb="FFC00000"/>
        <rFont val="WenQuanYi Zen Hei"/>
        <family val="2"/>
      </rPr>
      <t xml:space="preserve">파일 별도 제출 여부 확인</t>
    </r>
    <r>
      <rPr>
        <b val="true"/>
        <sz val="9"/>
        <color rgb="FFC00000"/>
        <rFont val="맑은 고딕"/>
        <family val="0"/>
        <charset val="1"/>
      </rPr>
      <t xml:space="preserve">, </t>
    </r>
    <r>
      <rPr>
        <b val="true"/>
        <sz val="9"/>
        <color rgb="FFC00000"/>
        <rFont val="WenQuanYi Zen Hei"/>
        <family val="2"/>
      </rPr>
      <t xml:space="preserve">없으면 요청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</si>
  <si>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CPU Spec</t>
  </si>
  <si>
    <r>
      <rPr>
        <sz val="9"/>
        <color rgb="FF000000"/>
        <rFont val="WenQuanYi Zen Hei"/>
        <family val="2"/>
      </rPr>
      <t xml:space="preserve">메모리</t>
    </r>
    <r>
      <rPr>
        <sz val="9"/>
        <color rgb="FF000000"/>
        <rFont val="맑은 고딕"/>
        <family val="0"/>
        <charset val="1"/>
      </rPr>
      <t xml:space="preserve">, CPU </t>
    </r>
    <r>
      <rPr>
        <sz val="9"/>
        <color rgb="FF000000"/>
        <rFont val="WenQuanYi Zen Hei"/>
        <family val="2"/>
      </rPr>
      <t xml:space="preserve">처리 속도 등</t>
    </r>
  </si>
  <si>
    <r>
      <rPr>
        <sz val="9"/>
        <color rgb="FF000000"/>
        <rFont val="WenQuanYi Zen Hei"/>
        <family val="2"/>
      </rPr>
      <t xml:space="preserve">메모리만 기재 </t>
    </r>
    <r>
      <rPr>
        <sz val="9"/>
        <color rgb="FF000000"/>
        <rFont val="맑은 고딕"/>
        <family val="0"/>
        <charset val="1"/>
      </rPr>
      <t xml:space="preserve">(64MB RAM / 128MB Flash)</t>
    </r>
  </si>
  <si>
    <r>
      <rPr>
        <b val="true"/>
        <sz val="9"/>
        <color rgb="FF7F6000"/>
        <rFont val="맑은 고딕"/>
        <family val="0"/>
        <charset val="1"/>
      </rPr>
      <t xml:space="preserve">CPU </t>
    </r>
    <r>
      <rPr>
        <b val="true"/>
        <sz val="9"/>
        <color rgb="FF7F6000"/>
        <rFont val="WenQuanYi Zen Hei"/>
        <family val="2"/>
      </rPr>
      <t xml:space="preserve">처리 속도</t>
    </r>
    <r>
      <rPr>
        <b val="true"/>
        <sz val="9"/>
        <color rgb="FF7F6000"/>
        <rFont val="맑은 고딕"/>
        <family val="0"/>
        <charset val="1"/>
      </rPr>
      <t xml:space="preserve">(</t>
    </r>
    <r>
      <rPr>
        <b val="true"/>
        <sz val="9"/>
        <color rgb="FF7F6000"/>
        <rFont val="WenQuanYi Zen Hei"/>
        <family val="2"/>
      </rPr>
      <t xml:space="preserve">명령 처리 시간</t>
    </r>
    <r>
      <rPr>
        <b val="true"/>
        <sz val="9"/>
        <color rgb="FF7F6000"/>
        <rFont val="맑은 고딕"/>
        <family val="0"/>
        <charset val="1"/>
      </rPr>
      <t xml:space="preserve">) </t>
    </r>
    <r>
      <rPr>
        <b val="true"/>
        <sz val="9"/>
        <color rgb="FF7F6000"/>
        <rFont val="WenQuanYi Zen Hei"/>
        <family val="2"/>
      </rPr>
      <t xml:space="preserve">등 사양서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</si>
  <si>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Techross</t>
    </r>
    <r>
      <rPr>
        <b val="true"/>
        <sz val="12"/>
        <color rgb="FF1F3864"/>
        <rFont val="WenQuanYi Zen Hei"/>
        <family val="2"/>
      </rPr>
      <t xml:space="preserve">에 확인할 것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자체의 모호한 부분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</si>
  <si>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① ANU: </t>
    </r>
    <r>
      <rPr>
        <sz val="10"/>
        <color rgb="FF000000"/>
        <rFont val="WenQuanYi Zen Hei"/>
        <family val="2"/>
      </rPr>
      <t xml:space="preserve">기존 하드웨어에는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2CH)</t>
    </r>
    <r>
      <rPr>
        <sz val="10"/>
        <color rgb="FF000000"/>
        <rFont val="WenQuanYi Zen Hei"/>
        <family val="2"/>
      </rPr>
      <t xml:space="preserve">이 있는데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필수사항에는 </t>
    </r>
    <r>
      <rPr>
        <sz val="10"/>
        <color rgb="FF000000"/>
        <rFont val="맑은 고딕"/>
        <family val="0"/>
        <charset val="1"/>
      </rPr>
      <t xml:space="preserve">AO</t>
    </r>
    <r>
      <rPr>
        <sz val="10"/>
        <color rgb="FF000000"/>
        <rFont val="WenQuanYi Zen Hei"/>
        <family val="2"/>
      </rPr>
      <t xml:space="preserve">가 없음 → 실제 사용 여부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</si>
  <si>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프로젝트별 </t>
    </r>
    <r>
      <rPr>
        <b val="true"/>
        <sz val="14"/>
        <color rgb="FF1F3864"/>
        <rFont val="맑은 고딕"/>
        <family val="0"/>
        <charset val="1"/>
      </rPr>
      <t xml:space="preserve">PLC </t>
    </r>
    <r>
      <rPr>
        <b val="true"/>
        <sz val="14"/>
        <color rgb="FF1F3864"/>
        <rFont val="WenQuanYi Zen Hei"/>
        <family val="2"/>
      </rPr>
      <t xml:space="preserve">구성</t>
    </r>
  </si>
  <si>
    <r>
      <rPr>
        <sz val="9"/>
        <color rgb="FF595959"/>
        <rFont val="WenQuanYi Zen Hei"/>
        <family val="2"/>
      </rPr>
      <t xml:space="preserve">단가는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자동으로 가져옵니다</t>
    </r>
    <r>
      <rPr>
        <sz val="9"/>
        <color rgb="FF595959"/>
        <rFont val="맑은 고딕"/>
        <family val="0"/>
        <charset val="1"/>
      </rPr>
      <t xml:space="preserve">. 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세트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</si>
  <si>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기존 </t>
    </r>
    <r>
      <rPr>
        <b val="true"/>
        <sz val="10"/>
        <color rgb="FF000000"/>
        <rFont val="맑은 고딕"/>
        <family val="0"/>
        <charset val="1"/>
      </rPr>
      <t xml:space="preserve">PLC</t>
    </r>
  </si>
  <si>
    <t xml:space="preserve">필요 사양</t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</si>
  <si>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</si>
  <si>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수량</t>
  </si>
  <si>
    <t xml:space="preserve">매입 단가</t>
  </si>
  <si>
    <t xml:space="preserve">매입 금액</t>
  </si>
  <si>
    <t xml:space="preserve">리스트가 금액</t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</si>
  <si>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</si>
  <si>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</si>
  <si>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b val="true"/>
        <sz val="10"/>
        <color rgb="FF000000"/>
        <rFont val="맑은 고딕"/>
        <family val="0"/>
        <charset val="1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</si>
  <si>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</si>
  <si>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12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</si>
  <si>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24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16 / Serial 2CH → </t>
    </r>
    <r>
      <rPr>
        <sz val="9"/>
        <color rgb="FFC00000"/>
        <rFont val="WenQuanYi Zen Hei"/>
        <family val="2"/>
      </rPr>
      <t xml:space="preserve">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기존 </t>
    </r>
    <r>
      <rPr>
        <sz val="9"/>
        <color rgb="FFC00000"/>
        <rFont val="맑은 고딕"/>
        <family val="0"/>
        <charset val="1"/>
      </rPr>
      <t xml:space="preserve">AO561(</t>
    </r>
    <r>
      <rPr>
        <sz val="9"/>
        <color rgb="FFC00000"/>
        <rFont val="WenQuanYi Zen Hei"/>
        <family val="2"/>
      </rPr>
      <t xml:space="preserve">아날로그 출력</t>
    </r>
    <r>
      <rPr>
        <sz val="9"/>
        <color rgb="FFC00000"/>
        <rFont val="맑은 고딕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을 쓰고 있다면 </t>
    </r>
    <r>
      <rPr>
        <sz val="9"/>
        <color rgb="FFC00000"/>
        <rFont val="맑은 고딕"/>
        <family val="0"/>
        <charset val="1"/>
      </rPr>
      <t xml:space="preserve">TM3AQ2 </t>
    </r>
    <r>
      <rPr>
        <sz val="9"/>
        <color rgb="FFC00000"/>
        <rFont val="WenQuanYi Zen Hei"/>
        <family val="2"/>
      </rPr>
      <t xml:space="preserve">추가 필요 </t>
    </r>
    <r>
      <rPr>
        <sz val="9"/>
        <color rgb="FFC00000"/>
        <rFont val="맑은 고딕"/>
        <family val="0"/>
        <charset val="1"/>
      </rPr>
      <t xml:space="preserve">(+138,400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</si>
  <si>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1CH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</si>
  <si>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2CH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</si>
  <si>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맑은 고딕"/>
        <family val="0"/>
        <charset val="1"/>
      </rPr>
      <t xml:space="preserve">Techross </t>
    </r>
    <r>
      <rPr>
        <sz val="10"/>
        <color rgb="FF000000"/>
        <rFont val="WenQuanYi Zen Hei"/>
        <family val="2"/>
      </rPr>
      <t xml:space="preserve">확인 </t>
    </r>
    <r>
      <rPr>
        <sz val="10"/>
        <color rgb="FF000000"/>
        <rFont val="맑은 고딕"/>
        <family val="0"/>
        <charset val="1"/>
      </rPr>
      <t xml:space="preserve">(2026-10-06):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40 (Relay·TR </t>
    </r>
    <r>
      <rPr>
        <sz val="10"/>
        <color rgb="FF000000"/>
        <rFont val="WenQuanYi Zen Hei"/>
        <family val="2"/>
      </rPr>
      <t xml:space="preserve">무관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 / Serial 2CH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1CH — Schneider </t>
    </r>
    <r>
      <rPr>
        <sz val="10"/>
        <color rgb="FF000000"/>
        <rFont val="WenQuanYi Zen Hei"/>
        <family val="2"/>
      </rPr>
      <t xml:space="preserve">제안과 일치</t>
    </r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</si>
  <si>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확정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</si>
  <si>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확장 모듈 </t>
    </r>
    <r>
      <rPr>
        <sz val="9"/>
        <color rgb="FFC00000"/>
        <rFont val="맑은 고딕"/>
        <family val="0"/>
        <charset val="1"/>
      </rPr>
      <t xml:space="preserve">6</t>
    </r>
    <r>
      <rPr>
        <sz val="9"/>
        <color rgb="FFC00000"/>
        <rFont val="WenQuanYi Zen Hei"/>
        <family val="2"/>
      </rPr>
      <t xml:space="preserve">개 → 버스 확장 불필요</t>
    </r>
    <r>
      <rPr>
        <sz val="9"/>
        <color rgb="FFC00000"/>
        <rFont val="맑은 고딕"/>
        <family val="0"/>
        <charset val="1"/>
      </rPr>
      <t xml:space="preserve">.  ※ TM241CE40T</t>
    </r>
    <r>
      <rPr>
        <sz val="9"/>
        <color rgb="FFC00000"/>
        <rFont val="WenQuanYi Zen Hei"/>
        <family val="2"/>
      </rPr>
      <t xml:space="preserve">는 받은 견적에 없어 추정 단가</t>
    </r>
    <r>
      <rPr>
        <sz val="9"/>
        <color rgb="FFC00000"/>
        <rFont val="맑은 고딕"/>
        <family val="0"/>
        <charset val="1"/>
      </rPr>
      <t xml:space="preserve">(423,450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 — Schneider </t>
    </r>
    <r>
      <rPr>
        <sz val="9"/>
        <color rgb="FFC00000"/>
        <rFont val="WenQuanYi Zen Hei"/>
        <family val="2"/>
      </rPr>
      <t xml:space="preserve">실단가 받으면 </t>
    </r>
    <r>
      <rPr>
        <sz val="9"/>
        <color rgb="FFC00000"/>
        <rFont val="맑은 고딕"/>
        <family val="0"/>
        <charset val="1"/>
      </rPr>
      <t xml:space="preserve">'</t>
    </r>
    <r>
      <rPr>
        <sz val="9"/>
        <color rgb="FFC00000"/>
        <rFont val="WenQuanYi Zen Hei"/>
        <family val="2"/>
      </rPr>
      <t xml:space="preserve">단가표</t>
    </r>
    <r>
      <rPr>
        <sz val="9"/>
        <color rgb="FFC00000"/>
        <rFont val="맑은 고딕"/>
        <family val="0"/>
        <charset val="1"/>
      </rPr>
      <t xml:space="preserve">'</t>
    </r>
    <r>
      <rPr>
        <sz val="9"/>
        <color rgb="FFC00000"/>
        <rFont val="WenQuanYi Zen Hei"/>
        <family val="2"/>
      </rPr>
      <t xml:space="preserve">에 입력</t>
    </r>
  </si>
  <si>
    <r>
      <rPr>
        <b val="true"/>
        <sz val="14"/>
        <color rgb="FF1F3864"/>
        <rFont val="맑은 고딕"/>
        <family val="0"/>
        <charset val="1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</t>
    </r>
    <r>
      <rPr>
        <b val="true"/>
        <sz val="14"/>
        <color rgb="FF1F3864"/>
        <rFont val="맑은 고딕"/>
        <family val="0"/>
        <charset val="1"/>
      </rPr>
      <t xml:space="preserve">(DF)</t>
    </r>
    <r>
      <rPr>
        <b val="true"/>
        <sz val="14"/>
        <color rgb="FF1F3864"/>
        <rFont val="WenQuanYi Zen Hei"/>
        <family val="2"/>
      </rPr>
      <t xml:space="preserve">을 바꾸면 얼마나 싸지나</t>
    </r>
  </si>
  <si>
    <t xml:space="preserve">현재 할인율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</si>
  <si>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</si>
  <si>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</si>
  <si>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0"/>
        <charset val="1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</si>
  <si>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리스트가</t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</si>
  <si>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</si>
  <si>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</si>
  <si>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</si>
  <si>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t xml:space="preserve">연간 절감</t>
  </si>
  <si>
    <t xml:space="preserve">DC</t>
  </si>
  <si>
    <t xml:space="preserve">TSU + ANU-S (DC24V)</t>
  </si>
  <si>
    <t xml:space="preserve">ANU (DC24V)</t>
  </si>
  <si>
    <r>
      <rPr>
        <sz val="8"/>
        <color rgb="FF7F7F7F"/>
        <rFont val="맑은 고딕"/>
        <family val="0"/>
        <charset val="1"/>
      </rPr>
      <t xml:space="preserve">MCC (</t>
    </r>
    <r>
      <rPr>
        <sz val="8"/>
        <color rgb="FF7F7F7F"/>
        <rFont val="WenQuanYi Zen Hei"/>
        <family val="2"/>
      </rPr>
      <t xml:space="preserve">추정 단가</t>
    </r>
    <r>
      <rPr>
        <sz val="8"/>
        <color rgb="FF7F7F7F"/>
        <rFont val="맑은 고딕"/>
        <family val="0"/>
        <charset val="1"/>
      </rPr>
      <t xml:space="preserve">)</t>
    </r>
  </si>
  <si>
    <t xml:space="preserve">AC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</si>
  <si>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</si>
  <si>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</si>
  <si>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(TM241C24T + C40T + CE40T)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</si>
  <si>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(TM241C24R + C40R + MCC CE40T)</t>
    </r>
  </si>
  <si>
    <r>
      <rPr>
        <sz val="9"/>
        <color rgb="FF7F7F7F"/>
        <rFont val="WenQuanYi Zen Hei"/>
        <family val="2"/>
      </rPr>
      <t xml:space="preserve">※ 확장 모듈</t>
    </r>
    <r>
      <rPr>
        <sz val="9"/>
        <color rgb="FF7F7F7F"/>
        <rFont val="맑은 고딕"/>
        <family val="0"/>
        <charset val="1"/>
      </rPr>
      <t xml:space="preserve">(TM3)</t>
    </r>
    <r>
      <rPr>
        <sz val="9"/>
        <color rgb="FF7F7F7F"/>
        <rFont val="WenQuanYi Zen Hei"/>
        <family val="2"/>
      </rPr>
      <t xml:space="preserve">의 할인율 </t>
    </r>
    <r>
      <rPr>
        <sz val="9"/>
        <color rgb="FF7F7F7F"/>
        <rFont val="맑은 고딕"/>
        <family val="0"/>
        <charset val="1"/>
      </rPr>
      <t xml:space="preserve">0.40</t>
    </r>
    <r>
      <rPr>
        <sz val="9"/>
        <color rgb="FF7F7F7F"/>
        <rFont val="WenQuanYi Zen Hei"/>
        <family val="2"/>
      </rPr>
      <t xml:space="preserve">은 그대로 두고</t>
    </r>
    <r>
      <rPr>
        <sz val="9"/>
        <color rgb="FF7F7F7F"/>
        <rFont val="맑은 고딕"/>
        <family val="0"/>
        <charset val="1"/>
      </rPr>
      <t xml:space="preserve">, CPU</t>
    </r>
    <r>
      <rPr>
        <sz val="9"/>
        <color rgb="FF7F7F7F"/>
        <rFont val="WenQuanYi Zen Hei"/>
        <family val="2"/>
      </rPr>
      <t xml:space="preserve">만 계산했습니다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</si>
  <si>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단가표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받은 견적 그대로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</si>
  <si>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매입 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할인율</t>
    </r>
    <r>
      <rPr>
        <sz val="9"/>
        <color rgb="FF595959"/>
        <rFont val="맑은 고딕"/>
        <family val="0"/>
        <charset val="1"/>
      </rPr>
      <t xml:space="preserve">(DF)</t>
    </r>
  </si>
  <si>
    <r>
      <rPr>
        <b val="true"/>
        <sz val="10"/>
        <color rgb="FFFFFFFF"/>
        <rFont val="WenQuanYi Zen Hei"/>
        <family val="2"/>
      </rPr>
      <t xml:space="preserve">할인율 </t>
    </r>
    <r>
      <rPr>
        <b val="true"/>
        <sz val="10"/>
        <color rgb="FFFFFFFF"/>
        <rFont val="맑은 고딕"/>
        <family val="0"/>
        <charset val="1"/>
      </rPr>
      <t xml:space="preserve">(DF)</t>
    </r>
  </si>
  <si>
    <t xml:space="preserve">TM241CE24T</t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</si>
  <si>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</si>
  <si>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</si>
  <si>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6 + TR 4)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</si>
  <si>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</si>
  <si>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12 + TR 4)</t>
    </r>
  </si>
  <si>
    <t xml:space="preserve">-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</si>
  <si>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</si>
  <si>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</si>
  <si>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TM3DQ16R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</si>
  <si>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</si>
  <si>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</si>
  <si>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</si>
  <si>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</si>
  <si>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TM3DQ8R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</si>
  <si>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</si>
  <si>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</si>
  <si>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</si>
  <si>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</si>
  <si>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TM3AI2H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</si>
  <si>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</si>
  <si>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TM3AI4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</si>
  <si>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4CH</t>
    </r>
  </si>
  <si>
    <t xml:space="preserve">TM3AI8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</si>
  <si>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8CH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</si>
  <si>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</si>
  <si>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TM3AQ4</t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</si>
  <si>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</t>
    </r>
  </si>
  <si>
    <r>
      <rPr>
        <b val="true"/>
        <sz val="10"/>
        <color rgb="FFFFFFFF"/>
        <rFont val="WenQuanYi Zen Hei"/>
        <family val="2"/>
      </rPr>
      <t xml:space="preserve">견적에 없는 품목 — 가격을 받으면 노란 칸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리스트가</t>
    </r>
    <r>
      <rPr>
        <b val="true"/>
        <sz val="10"/>
        <color rgb="FFFFFFFF"/>
        <rFont val="맑은 고딕"/>
        <family val="0"/>
        <charset val="1"/>
      </rPr>
      <t xml:space="preserve">)</t>
    </r>
    <r>
      <rPr>
        <b val="true"/>
        <sz val="10"/>
        <color rgb="FFFFFFFF"/>
        <rFont val="WenQuanYi Zen Hei"/>
        <family val="2"/>
      </rPr>
      <t xml:space="preserve">에 입력하세요</t>
    </r>
  </si>
  <si>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이더넷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16) — MCC, </t>
    </r>
    <r>
      <rPr>
        <sz val="9"/>
        <color rgb="FF000000"/>
        <rFont val="WenQuanYi Zen Hei"/>
        <family val="2"/>
      </rPr>
      <t xml:space="preserve">견적에 없어 추정가</t>
    </r>
  </si>
  <si>
    <r>
      <rPr>
        <sz val="8"/>
        <color rgb="FF7F7F7F"/>
        <rFont val="맑은 고딕"/>
        <family val="0"/>
        <charset val="1"/>
      </rPr>
      <t xml:space="preserve">※ TM241CE40T </t>
    </r>
    <r>
      <rPr>
        <sz val="8"/>
        <color rgb="FF7F7F7F"/>
        <rFont val="WenQuanYi Zen Hei"/>
        <family val="2"/>
      </rPr>
      <t xml:space="preserve">리스트가는 추정값</t>
    </r>
    <r>
      <rPr>
        <sz val="8"/>
        <color rgb="FF7F7F7F"/>
        <rFont val="맑은 고딕"/>
        <family val="0"/>
        <charset val="1"/>
      </rPr>
      <t xml:space="preserve">: TM241C40T </t>
    </r>
    <r>
      <rPr>
        <sz val="8"/>
        <color rgb="FF7F7F7F"/>
        <rFont val="WenQuanYi Zen Hei"/>
        <family val="2"/>
      </rPr>
      <t xml:space="preserve">정가 </t>
    </r>
    <r>
      <rPr>
        <sz val="8"/>
        <color rgb="FF7F7F7F"/>
        <rFont val="맑은 고딕"/>
        <family val="0"/>
        <charset val="1"/>
      </rPr>
      <t xml:space="preserve">928,000 + (CE24T − C24T </t>
    </r>
    <r>
      <rPr>
        <sz val="8"/>
        <color rgb="FF7F7F7F"/>
        <rFont val="WenQuanYi Zen Hei"/>
        <family val="2"/>
      </rPr>
      <t xml:space="preserve">정가 차이 </t>
    </r>
    <r>
      <rPr>
        <sz val="8"/>
        <color rgb="FF7F7F7F"/>
        <rFont val="맑은 고딕"/>
        <family val="0"/>
        <charset val="1"/>
      </rPr>
      <t xml:space="preserve">13,000). </t>
    </r>
    <r>
      <rPr>
        <sz val="8"/>
        <color rgb="FF7F7F7F"/>
        <rFont val="WenQuanYi Zen Hei"/>
        <family val="2"/>
      </rPr>
      <t xml:space="preserve">실단가를 받으면 리스트가</t>
    </r>
    <r>
      <rPr>
        <sz val="8"/>
        <color rgb="FF7F7F7F"/>
        <rFont val="맑은 고딕"/>
        <family val="0"/>
        <charset val="1"/>
      </rPr>
      <t xml:space="preserve">·</t>
    </r>
    <r>
      <rPr>
        <sz val="8"/>
        <color rgb="FF7F7F7F"/>
        <rFont val="WenQuanYi Zen Hei"/>
        <family val="2"/>
      </rPr>
      <t xml:space="preserve">할인율을 덮어쓰세요</t>
    </r>
    <r>
      <rPr>
        <sz val="8"/>
        <color rgb="FF7F7F7F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</si>
</sst>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%"/>
    <numFmt numFmtId="167" formatCode="\+#,##0;\-#,##0;\-"/>
    <numFmt numFmtId="168" formatCode="0.0%;\-0.0%;\-"/>
    <numFmt numFmtId="169" formatCode="0.000"/>
    <numFmt numFmtId="170" formatCode="0.00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0"/>
      <charset val="1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2"/>
      <color rgb="FF1F3864"/>
      <name val="맑은 고딕"/>
      <family val="0"/>
      <charset val="1"/>
    </font>
    <font>
      <sz val="8"/>
      <color rgb="FF7F7F7F"/>
      <name val="맑은 고딕"/>
      <family val="0"/>
      <charset val="1"/>
    </font>
    <font>
      <sz val="8"/>
      <color rgb="FF7F7F7F"/>
      <name val="WenQuanYi Zen Hei"/>
      <family val="2"/>
    </font>
    <font>
      <b val="true"/>
      <sz val="13"/>
      <color rgb="FF1F3864"/>
      <name val="맑은 고딕"/>
      <family val="0"/>
      <charset val="1"/>
    </font>
    <font>
      <b val="true"/>
      <sz val="13"/>
      <color rgb="FF1F3864"/>
      <name val="WenQuanYi Zen Hei"/>
      <family val="2"/>
    </font>
    <font>
      <sz val="10"/>
      <color rgb="FF000000"/>
      <name val="WenQuanYi Zen Hei"/>
      <family val="2"/>
    </font>
    <font>
      <b val="true"/>
      <sz val="10"/>
      <color rgb="FFC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375623"/>
      <name val="맑은 고딕"/>
      <family val="0"/>
      <charset val="1"/>
    </font>
    <font>
      <sz val="10"/>
      <color rgb="FF375623"/>
      <name val="WenQuanYi Zen Hei"/>
      <family val="2"/>
    </font>
    <font>
      <sz val="10"/>
      <color rgb="FFC00000"/>
      <name val="맑은 고딕"/>
      <family val="0"/>
      <charset val="1"/>
    </font>
    <font>
      <sz val="10"/>
      <color rgb="FFC00000"/>
      <name val="WenQuanYi Zen Hei"/>
      <family val="2"/>
    </font>
    <font>
      <b val="true"/>
      <sz val="10"/>
      <color rgb="FF1F3864"/>
      <name val="맑은 고딕"/>
      <family val="0"/>
      <charset val="1"/>
    </font>
    <font>
      <b val="true"/>
      <sz val="14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12"/>
      <color rgb="FF0000FF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1"/>
      <color rgb="FFC00000"/>
      <name val="맑은 고딕"/>
      <family val="0"/>
      <charset val="1"/>
    </font>
    <font>
      <sz val="9"/>
      <color rgb="FF404040"/>
      <name val="맑은 고딕"/>
      <family val="0"/>
      <charset val="1"/>
    </font>
    <font>
      <sz val="9"/>
      <color rgb="FFC00000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404040"/>
      <name val="WenQuanYi Zen Hei"/>
      <family val="2"/>
    </font>
    <font>
      <b val="true"/>
      <sz val="9"/>
      <color rgb="FF375623"/>
      <name val="WenQuanYi Zen Hei"/>
      <family val="2"/>
    </font>
    <font>
      <b val="true"/>
      <sz val="9"/>
      <color rgb="FF7F6000"/>
      <name val="WenQuanYi Zen Hei"/>
      <family val="2"/>
    </font>
    <font>
      <b val="true"/>
      <sz val="9"/>
      <color rgb="FFC00000"/>
      <name val="맑은 고딕"/>
      <family val="0"/>
      <charset val="1"/>
    </font>
    <font>
      <b val="true"/>
      <sz val="9"/>
      <color rgb="FFC00000"/>
      <name val="WenQuanYi Zen Hei"/>
      <family val="2"/>
    </font>
    <font>
      <sz val="9"/>
      <color rgb="FF000000"/>
      <name val="WenQuanYi Zen Hei"/>
      <family val="2"/>
    </font>
    <font>
      <b val="true"/>
      <sz val="14"/>
      <color rgb="FF375623"/>
      <name val="맑은 고딕"/>
      <family val="0"/>
      <charset val="1"/>
    </font>
    <font>
      <b val="true"/>
      <sz val="14"/>
      <color rgb="FF7F6000"/>
      <name val="맑은 고딕"/>
      <family val="0"/>
      <charset val="1"/>
    </font>
    <font>
      <b val="true"/>
      <sz val="9"/>
      <color rgb="FF7F6000"/>
      <name val="맑은 고딕"/>
      <family val="0"/>
      <charset val="1"/>
    </font>
    <font>
      <b val="true"/>
      <sz val="14"/>
      <color rgb="FFC00000"/>
      <name val="맑은 고딕"/>
      <family val="0"/>
      <charset val="1"/>
    </font>
    <font>
      <b val="true"/>
      <sz val="13"/>
      <color rgb="FFFFFFFF"/>
      <name val="맑은 고딕"/>
      <family val="0"/>
      <charset val="1"/>
    </font>
    <font>
      <b val="true"/>
      <sz val="9"/>
      <color rgb="FF7F7F7F"/>
      <name val="맑은 고딕"/>
      <family val="0"/>
      <charset val="1"/>
    </font>
    <font>
      <sz val="9"/>
      <color rgb="FF375623"/>
      <name val="WenQuanYi Zen Hei"/>
      <family val="2"/>
    </font>
    <font>
      <sz val="9"/>
      <color rgb="FF375623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0000FF"/>
      <name val="맑은 고딕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8CBAD"/>
        <bgColor rgb="FFFFF2CC"/>
      </patternFill>
    </fill>
    <fill>
      <patternFill patternType="solid">
        <fgColor rgb="FF7F7F7F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5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맑은 고딕"/>
        <charset val="1"/>
        <family val="0"/>
        <b val="1"/>
        <color rgb="FF375623"/>
      </font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2" t="s">
        <v>3</v>
      </c>
    </row>
    <row r="5" customFormat="false" ht="36" hidden="false" customHeight="true" outlineLevel="0" collapsed="false">
      <c r="A5" s="4" t="s">
        <v>4</v>
      </c>
      <c r="B5" s="4" t="s">
        <v>5</v>
      </c>
      <c r="C5" s="4" t="s">
        <v>6</v>
      </c>
      <c r="D5" s="5" t="s">
        <v>7</v>
      </c>
      <c r="E5" s="5" t="s">
        <v>8</v>
      </c>
      <c r="F5" s="4" t="s">
        <v>9</v>
      </c>
      <c r="G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200</v>
      </c>
      <c r="D6" s="9" t="n">
        <f aca="false">'프로젝트별 구성'!F9</f>
        <v>392850</v>
      </c>
      <c r="E6" s="9" t="n">
        <f aca="false">'프로젝트별 구성'!F11</f>
        <v>384750</v>
      </c>
      <c r="F6" s="10" t="n">
        <f aca="false">C6*D6</f>
        <v>78570000</v>
      </c>
      <c r="G6" s="10" t="n">
        <f aca="false">C6*E6</f>
        <v>76950000</v>
      </c>
    </row>
    <row r="7" customFormat="false" ht="30" hidden="false" customHeight="true" outlineLevel="0" collapsed="false">
      <c r="A7" s="6" t="s">
        <v>13</v>
      </c>
      <c r="B7" s="7" t="s">
        <v>14</v>
      </c>
      <c r="C7" s="8" t="n">
        <v>300</v>
      </c>
      <c r="D7" s="9" t="n">
        <f aca="false">'프로젝트별 구성'!F19</f>
        <v>417600</v>
      </c>
      <c r="E7" s="9" t="n">
        <f aca="false">'프로젝트별 구성'!F21</f>
        <v>406350</v>
      </c>
      <c r="F7" s="10" t="n">
        <f aca="false">C7*D7</f>
        <v>125280000</v>
      </c>
      <c r="G7" s="10" t="n">
        <f aca="false">C7*E7</f>
        <v>121905000</v>
      </c>
    </row>
    <row r="8" customFormat="false" ht="30" hidden="false" customHeight="true" outlineLevel="0" collapsed="false">
      <c r="A8" s="6" t="s">
        <v>15</v>
      </c>
      <c r="B8" s="7" t="s">
        <v>16</v>
      </c>
      <c r="C8" s="8" t="n">
        <v>50</v>
      </c>
      <c r="D8" s="9" t="n">
        <f aca="false">'프로젝트별 구성'!F30</f>
        <v>531250</v>
      </c>
      <c r="E8" s="9" t="n">
        <f aca="false">'프로젝트별 구성'!F33</f>
        <v>523150</v>
      </c>
      <c r="F8" s="10" t="n">
        <f aca="false">C8*D8</f>
        <v>26562500</v>
      </c>
      <c r="G8" s="10" t="n">
        <f aca="false">C8*E8</f>
        <v>26157500</v>
      </c>
    </row>
    <row r="9" customFormat="false" ht="30" hidden="false" customHeight="true" outlineLevel="0" collapsed="false">
      <c r="A9" s="6" t="s">
        <v>17</v>
      </c>
      <c r="B9" s="7" t="s">
        <v>18</v>
      </c>
      <c r="C9" s="8" t="n">
        <v>100</v>
      </c>
      <c r="D9" s="9" t="n">
        <f aca="false">'프로젝트별 구성'!F46</f>
        <v>983050</v>
      </c>
      <c r="E9" s="11" t="s">
        <v>19</v>
      </c>
      <c r="F9" s="10" t="n">
        <f aca="false">C9*D9</f>
        <v>98305000</v>
      </c>
      <c r="G9" s="12" t="n">
        <f aca="false">F9</f>
        <v>98305000</v>
      </c>
    </row>
    <row r="10" customFormat="false" ht="25.5" hidden="false" customHeight="true" outlineLevel="0" collapsed="false">
      <c r="A10" s="13" t="s">
        <v>20</v>
      </c>
      <c r="B10" s="13"/>
      <c r="C10" s="14" t="n">
        <f aca="false">SUM(C6:C9)</f>
        <v>650</v>
      </c>
      <c r="D10" s="15"/>
      <c r="E10" s="15"/>
      <c r="F10" s="16" t="n">
        <f aca="false">SUM(F6:F9)</f>
        <v>328717500</v>
      </c>
      <c r="G10" s="16" t="n">
        <f aca="false">SUM(G6:G9)</f>
        <v>323317500</v>
      </c>
    </row>
    <row r="11" customFormat="false" ht="15" hidden="false" customHeight="false" outlineLevel="0" collapsed="false">
      <c r="A11" s="17" t="s">
        <v>21</v>
      </c>
    </row>
    <row r="13" customFormat="false" ht="17.15" hidden="false" customHeight="false" outlineLevel="0" collapsed="false">
      <c r="A13" s="18" t="s">
        <v>22</v>
      </c>
    </row>
    <row r="14" customFormat="false" ht="19.5" hidden="false" customHeight="true" outlineLevel="0" collapsed="false">
      <c r="A14" s="19" t="s">
        <v>23</v>
      </c>
      <c r="B14" s="19"/>
      <c r="C14" s="19"/>
      <c r="D14" s="19"/>
      <c r="E14" s="19"/>
      <c r="F14" s="19"/>
      <c r="G14" s="19"/>
    </row>
    <row r="15" customFormat="false" ht="19.5" hidden="false" customHeight="true" outlineLevel="0" collapsed="false">
      <c r="A15" s="20" t="str">
        <f aca="false">"1대 "&amp;TEXT(D9,"#,##0")&amp;"원 · 연간 "&amp;TEXT(F9,"#,##0")&amp;"원  —  이 중 TM241CE40T "&amp;TEXT(VLOOKUP("TM241CE40T",단가표!$B$5:$G$24,6,FALSE()),"#,##0")&amp;"원은 추정 단가 (견적에 없음) → Schneider 실단가 확인 필요"</f>
        <v>1대 983,050원 · 연간 98,305,000원  —  이 중 TM241CE40T 423,450원은 추정 단가 (견적에 없음) → Schneider 실단가 확인 필요</v>
      </c>
      <c r="B15" s="20"/>
      <c r="C15" s="20"/>
      <c r="D15" s="20"/>
      <c r="E15" s="20"/>
      <c r="F15" s="20"/>
      <c r="G15" s="20"/>
    </row>
    <row r="17" customFormat="false" ht="16.15" hidden="false" customHeight="false" outlineLevel="0" collapsed="false">
      <c r="A17" s="21" t="s">
        <v>24</v>
      </c>
    </row>
    <row r="18" customFormat="false" ht="31.5" hidden="false" customHeight="true" outlineLevel="0" collapsed="false">
      <c r="A18" s="22" t="str">
        <f aca="false">"① 연간 구매금액: DC24V 기준 약 "&amp;TEXT(F10/100000000,"0.00")&amp;"억 원,  AC220V 기준 약 "&amp;TEXT(G10/100000000,"0.00")&amp;"억 원"</f>
        <v>① 연간 구매금액: DC24V 기준 약 3.29억 원,  AC220V 기준 약 3.23억 원</v>
      </c>
      <c r="B18" s="22"/>
      <c r="C18" s="22"/>
      <c r="D18" s="22"/>
      <c r="E18" s="22"/>
      <c r="F18" s="22"/>
      <c r="G18" s="22"/>
    </row>
    <row r="19" customFormat="false" ht="31.5" hidden="false" customHeight="true" outlineLevel="0" collapsed="false">
      <c r="A19" s="23" t="s">
        <v>25</v>
      </c>
      <c r="B19" s="23"/>
      <c r="C19" s="23"/>
      <c r="D19" s="23"/>
      <c r="E19" s="23"/>
      <c r="F19" s="23"/>
      <c r="G19" s="23"/>
    </row>
    <row r="20" customFormat="false" ht="19.5" hidden="false" customHeight="true" outlineLevel="0" collapsed="false">
      <c r="A20" s="23" t="s">
        <v>26</v>
      </c>
      <c r="B20" s="23"/>
      <c r="C20" s="23"/>
      <c r="D20" s="23"/>
      <c r="E20" s="23"/>
      <c r="F20" s="23"/>
      <c r="G20" s="23"/>
    </row>
    <row r="21" customFormat="false" ht="31.5" hidden="false" customHeight="true" outlineLevel="0" collapsed="false">
      <c r="A21" s="24" t="s">
        <v>27</v>
      </c>
      <c r="B21" s="24"/>
      <c r="C21" s="24"/>
      <c r="D21" s="24"/>
      <c r="E21" s="24"/>
      <c r="F21" s="24"/>
      <c r="G21" s="24"/>
    </row>
    <row r="22" customFormat="false" ht="31.5" hidden="false" customHeight="true" outlineLevel="0" collapsed="false">
      <c r="A22" s="25" t="s">
        <v>28</v>
      </c>
      <c r="B22" s="25"/>
      <c r="C22" s="25"/>
      <c r="D22" s="25"/>
      <c r="E22" s="25"/>
      <c r="F22" s="25"/>
      <c r="G22" s="25"/>
    </row>
    <row r="23" customFormat="false" ht="31.5" hidden="false" customHeight="true" outlineLevel="0" collapsed="false">
      <c r="A23" s="25" t="str">
        <f aca="false">"⑥ CPU 할인율을 "&amp;TEXT('CPU 할인 효과'!B3,"0.00")&amp;" → "&amp;TEXT('CPU 할인 효과'!B4,"0.00")&amp;"으로 받으면 연간 약 "&amp;TEXT('CPU 할인 효과'!H13/10000,"#,##0")&amp;"만 원 절감 (DC24V 기준)"</f>
        <v>⑥ CPU 할인율을 0.45 → 0.40으로 받으면 연간 약 2,954만 원 절감 (DC24V 기준)</v>
      </c>
      <c r="B23" s="25"/>
      <c r="C23" s="25"/>
      <c r="D23" s="25"/>
      <c r="E23" s="25"/>
      <c r="F23" s="25"/>
      <c r="G23" s="25"/>
    </row>
    <row r="24" customFormat="false" ht="19.5" hidden="false" customHeight="true" outlineLevel="0" collapsed="false">
      <c r="A24" s="19" t="s">
        <v>29</v>
      </c>
      <c r="B24" s="19"/>
      <c r="C24" s="19"/>
      <c r="D24" s="19"/>
      <c r="E24" s="19"/>
      <c r="F24" s="19"/>
      <c r="G24" s="19"/>
    </row>
    <row r="25" customFormat="false" ht="21.75" hidden="false" customHeight="true" outlineLevel="0" collapsed="false">
      <c r="A25" s="26" t="str">
        <f aca="false">"⑧ LS 타겟 기준 연간 마진 (DC24V): "&amp;IF(ISNUMBER('마진 계산'!E30),TEXT('마진 계산'!E30,"#,##0")&amp;"원 (마진율 "&amp;TEXT('마진 계산'!F30,"0.0%")&amp;")  /  희망 마진("&amp;TEXT('마진 계산'!B4,"0%")&amp;")까지 연간 추가 특가 "&amp;TEXT('마진 계산'!G30,"#,##0")&amp;"원 필요","LS 타겟 프라이스를 '마진 계산' 시트에 넣으면 여기에 표시됩니다")</f>
        <v>⑧ LS 타겟 기준 연간 마진 (DC24V): LS 타겟 프라이스를 '마진 계산' 시트에 넣으면 여기에 표시됩니다</v>
      </c>
      <c r="B25" s="26"/>
      <c r="C25" s="26"/>
      <c r="D25" s="26"/>
      <c r="E25" s="26"/>
      <c r="F25" s="26"/>
      <c r="G25" s="26"/>
    </row>
    <row r="26" customFormat="false" ht="21.75" hidden="false" customHeight="true" outlineLevel="0" collapsed="false">
      <c r="A26" s="20" t="str">
        <f aca="false">"⑨ Schneider 제안 검토: 반드시 수정 "&amp;COUNTIF('Schneider 제안 검토'!F7:F24,"✕")&amp;"건, 보완 "&amp;COUNTIF('Schneider 제안 검토'!F7:F24,"△")&amp;"건  (구성은 4개 프로젝트 모두 적합)  → 'Schneider 제안 검토' 시트"</f>
        <v>⑨ Schneider 제안 검토: 반드시 수정 2건, 보완 5건  (구성은 4개 프로젝트 모두 적합)  → 'Schneider 제안 검토' 시트</v>
      </c>
      <c r="B26" s="20"/>
      <c r="C26" s="20"/>
      <c r="D26" s="20"/>
      <c r="E26" s="20"/>
      <c r="F26" s="20"/>
      <c r="G26" s="20"/>
    </row>
  </sheetData>
  <mergeCells count="12">
    <mergeCell ref="A10:B10"/>
    <mergeCell ref="A14:G14"/>
    <mergeCell ref="A15:G15"/>
    <mergeCell ref="A18:G18"/>
    <mergeCell ref="A19:G19"/>
    <mergeCell ref="A20:G20"/>
    <mergeCell ref="A21:G21"/>
    <mergeCell ref="A22:G22"/>
    <mergeCell ref="A23:G23"/>
    <mergeCell ref="A24:G24"/>
    <mergeCell ref="A25:G25"/>
    <mergeCell ref="A26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1"/>
    <col collapsed="false" customWidth="true" hidden="false" outlineLevel="0" max="9" min="9" style="0" width="15"/>
    <col collapsed="false" customWidth="true" hidden="false" outlineLevel="0" max="10" min="10" style="0" width="24"/>
  </cols>
  <sheetData>
    <row r="1" customFormat="false" ht="19.4" hidden="false" customHeight="false" outlineLevel="0" collapsed="false">
      <c r="A1" s="27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28" t="s">
        <v>32</v>
      </c>
      <c r="B4" s="29" t="n">
        <v>0.1</v>
      </c>
      <c r="C4" s="2" t="s">
        <v>33</v>
      </c>
    </row>
    <row r="6" customFormat="false" ht="16.4" hidden="false" customHeight="false" outlineLevel="0" collapsed="false">
      <c r="A6" s="30" t="s">
        <v>34</v>
      </c>
    </row>
    <row r="7" customFormat="false" ht="36" hidden="false" customHeight="true" outlineLevel="0" collapsed="false">
      <c r="A7" s="4" t="s">
        <v>4</v>
      </c>
      <c r="B7" s="4" t="s">
        <v>35</v>
      </c>
      <c r="C7" s="4" t="s">
        <v>36</v>
      </c>
      <c r="D7" s="5" t="s">
        <v>37</v>
      </c>
      <c r="E7" s="4" t="s">
        <v>38</v>
      </c>
      <c r="F7" s="4" t="s">
        <v>39</v>
      </c>
      <c r="G7" s="4" t="s">
        <v>40</v>
      </c>
      <c r="H7" s="4" t="s">
        <v>41</v>
      </c>
      <c r="I7" s="4" t="s">
        <v>42</v>
      </c>
    </row>
    <row r="8" customFormat="false" ht="21.75" hidden="false" customHeight="true" outlineLevel="0" collapsed="false">
      <c r="A8" s="6" t="s">
        <v>11</v>
      </c>
      <c r="B8" s="31" t="s">
        <v>43</v>
      </c>
      <c r="C8" s="32" t="n">
        <f aca="false">요약!C6</f>
        <v>200</v>
      </c>
      <c r="D8" s="33"/>
      <c r="E8" s="9" t="n">
        <f aca="false">'프로젝트별 구성'!F9</f>
        <v>392850</v>
      </c>
      <c r="F8" s="34" t="str">
        <f aca="false">IF(D8="","",D8-E8)</f>
        <v/>
      </c>
      <c r="G8" s="35" t="str">
        <f aca="false">IF(OR(D8="",D8=0),"",F8/D8)</f>
        <v/>
      </c>
      <c r="H8" s="9" t="str">
        <f aca="false">IF(D8="","",C8*D8)</f>
        <v/>
      </c>
      <c r="I8" s="34" t="str">
        <f aca="false">IF(D8="","",C8*F8)</f>
        <v/>
      </c>
      <c r="J8" s="36" t="s">
        <v>44</v>
      </c>
    </row>
    <row r="9" customFormat="false" ht="21.75" hidden="false" customHeight="true" outlineLevel="0" collapsed="false">
      <c r="A9" s="6" t="s">
        <v>11</v>
      </c>
      <c r="B9" s="31" t="s">
        <v>45</v>
      </c>
      <c r="C9" s="32" t="n">
        <f aca="false">요약!C6</f>
        <v>200</v>
      </c>
      <c r="D9" s="33"/>
      <c r="E9" s="9" t="n">
        <f aca="false">'프로젝트별 구성'!F11</f>
        <v>384750</v>
      </c>
      <c r="F9" s="34" t="str">
        <f aca="false">IF(D9="","",D9-E9)</f>
        <v/>
      </c>
      <c r="G9" s="35" t="str">
        <f aca="false">IF(OR(D9="",D9=0),"",F9/D9)</f>
        <v/>
      </c>
      <c r="H9" s="9" t="str">
        <f aca="false">IF(D9="","",C9*D9)</f>
        <v/>
      </c>
      <c r="I9" s="34" t="str">
        <f aca="false">IF(D9="","",C9*F9)</f>
        <v/>
      </c>
    </row>
    <row r="10" customFormat="false" ht="21.75" hidden="false" customHeight="true" outlineLevel="0" collapsed="false">
      <c r="A10" s="6" t="s">
        <v>13</v>
      </c>
      <c r="B10" s="31" t="s">
        <v>43</v>
      </c>
      <c r="C10" s="32" t="n">
        <f aca="false">요약!C7</f>
        <v>300</v>
      </c>
      <c r="D10" s="33"/>
      <c r="E10" s="9" t="n">
        <f aca="false">'프로젝트별 구성'!F19</f>
        <v>417600</v>
      </c>
      <c r="F10" s="34" t="str">
        <f aca="false">IF(D10="","",D10-E10)</f>
        <v/>
      </c>
      <c r="G10" s="35" t="str">
        <f aca="false">IF(OR(D10="",D10=0),"",F10/D10)</f>
        <v/>
      </c>
      <c r="H10" s="9" t="str">
        <f aca="false">IF(D10="","",C10*D10)</f>
        <v/>
      </c>
      <c r="I10" s="34" t="str">
        <f aca="false">IF(D10="","",C10*F10)</f>
        <v/>
      </c>
    </row>
    <row r="11" customFormat="false" ht="21.75" hidden="false" customHeight="true" outlineLevel="0" collapsed="false">
      <c r="A11" s="6" t="s">
        <v>13</v>
      </c>
      <c r="B11" s="31" t="s">
        <v>45</v>
      </c>
      <c r="C11" s="32" t="n">
        <f aca="false">요약!C7</f>
        <v>300</v>
      </c>
      <c r="D11" s="33"/>
      <c r="E11" s="9" t="n">
        <f aca="false">'프로젝트별 구성'!F21</f>
        <v>406350</v>
      </c>
      <c r="F11" s="34" t="str">
        <f aca="false">IF(D11="","",D11-E11)</f>
        <v/>
      </c>
      <c r="G11" s="35" t="str">
        <f aca="false">IF(OR(D11="",D11=0),"",F11/D11)</f>
        <v/>
      </c>
      <c r="H11" s="9" t="str">
        <f aca="false">IF(D11="","",C11*D11)</f>
        <v/>
      </c>
      <c r="I11" s="34" t="str">
        <f aca="false">IF(D11="","",C11*F11)</f>
        <v/>
      </c>
    </row>
    <row r="12" customFormat="false" ht="21.75" hidden="false" customHeight="true" outlineLevel="0" collapsed="false">
      <c r="A12" s="6" t="s">
        <v>15</v>
      </c>
      <c r="B12" s="31" t="s">
        <v>43</v>
      </c>
      <c r="C12" s="32" t="n">
        <f aca="false">요약!C8</f>
        <v>50</v>
      </c>
      <c r="D12" s="33"/>
      <c r="E12" s="9" t="n">
        <f aca="false">'프로젝트별 구성'!F30</f>
        <v>531250</v>
      </c>
      <c r="F12" s="34" t="str">
        <f aca="false">IF(D12="","",D12-E12)</f>
        <v/>
      </c>
      <c r="G12" s="35" t="str">
        <f aca="false">IF(OR(D12="",D12=0),"",F12/D12)</f>
        <v/>
      </c>
      <c r="H12" s="9" t="str">
        <f aca="false">IF(D12="","",C12*D12)</f>
        <v/>
      </c>
      <c r="I12" s="34" t="str">
        <f aca="false">IF(D12="","",C12*F12)</f>
        <v/>
      </c>
    </row>
    <row r="13" customFormat="false" ht="21.75" hidden="false" customHeight="true" outlineLevel="0" collapsed="false">
      <c r="A13" s="6" t="s">
        <v>15</v>
      </c>
      <c r="B13" s="31" t="s">
        <v>45</v>
      </c>
      <c r="C13" s="32" t="n">
        <f aca="false">요약!C8</f>
        <v>50</v>
      </c>
      <c r="D13" s="33"/>
      <c r="E13" s="9" t="n">
        <f aca="false">'프로젝트별 구성'!F33</f>
        <v>523150</v>
      </c>
      <c r="F13" s="34" t="str">
        <f aca="false">IF(D13="","",D13-E13)</f>
        <v/>
      </c>
      <c r="G13" s="35" t="str">
        <f aca="false">IF(OR(D13="",D13=0),"",F13/D13)</f>
        <v/>
      </c>
      <c r="H13" s="9" t="str">
        <f aca="false">IF(D13="","",C13*D13)</f>
        <v/>
      </c>
      <c r="I13" s="34" t="str">
        <f aca="false">IF(D13="","",C13*F13)</f>
        <v/>
      </c>
    </row>
    <row r="14" customFormat="false" ht="21.75" hidden="false" customHeight="true" outlineLevel="0" collapsed="false">
      <c r="A14" s="6" t="s">
        <v>17</v>
      </c>
      <c r="B14" s="31" t="s">
        <v>43</v>
      </c>
      <c r="C14" s="32" t="n">
        <f aca="false">요약!C9</f>
        <v>100</v>
      </c>
      <c r="D14" s="33"/>
      <c r="E14" s="9" t="n">
        <f aca="false">'프로젝트별 구성'!F46</f>
        <v>983050</v>
      </c>
      <c r="F14" s="34" t="str">
        <f aca="false">IF(D14="","",D14-E14)</f>
        <v/>
      </c>
      <c r="G14" s="35" t="str">
        <f aca="false">IF(OR(D14="",D14=0),"",F14/D14)</f>
        <v/>
      </c>
      <c r="H14" s="9" t="str">
        <f aca="false">IF(D14="","",C14*D14)</f>
        <v/>
      </c>
      <c r="I14" s="34" t="str">
        <f aca="false">IF(D14="","",C14*F14)</f>
        <v/>
      </c>
    </row>
    <row r="17" customFormat="false" ht="16.4" hidden="false" customHeight="false" outlineLevel="0" collapsed="false">
      <c r="A17" s="30" t="s">
        <v>46</v>
      </c>
    </row>
    <row r="18" customFormat="false" ht="39.75" hidden="false" customHeight="true" outlineLevel="0" collapsed="false">
      <c r="A18" s="4" t="s">
        <v>4</v>
      </c>
      <c r="B18" s="4" t="s">
        <v>35</v>
      </c>
      <c r="C18" s="4" t="s">
        <v>47</v>
      </c>
      <c r="D18" s="4" t="s">
        <v>38</v>
      </c>
      <c r="E18" s="4" t="s">
        <v>48</v>
      </c>
      <c r="F18" s="4" t="s">
        <v>49</v>
      </c>
      <c r="G18" s="4" t="s">
        <v>50</v>
      </c>
      <c r="H18" s="4" t="s">
        <v>51</v>
      </c>
      <c r="I18" s="4" t="s">
        <v>52</v>
      </c>
      <c r="J18" s="4" t="s">
        <v>53</v>
      </c>
    </row>
    <row r="19" customFormat="false" ht="21.75" hidden="false" customHeight="true" outlineLevel="0" collapsed="false">
      <c r="A19" s="6" t="s">
        <v>11</v>
      </c>
      <c r="B19" s="31" t="s">
        <v>43</v>
      </c>
      <c r="C19" s="9" t="str">
        <f aca="false">IF(D8="","",ROUND(D8*(1-$B$4),0))</f>
        <v/>
      </c>
      <c r="D19" s="9" t="n">
        <f aca="false">E8</f>
        <v>392850</v>
      </c>
      <c r="E19" s="37" t="str">
        <f aca="false">IF(C19="","",MAX(D19-C19,0))</f>
        <v/>
      </c>
      <c r="F19" s="38" t="str">
        <f aca="false">IF(C19="","",E19/D19)</f>
        <v/>
      </c>
      <c r="G19" s="39" t="n">
        <f aca="false">IFERROR(D19/'프로젝트별 구성'!G9,"")</f>
        <v>0.45</v>
      </c>
      <c r="H19" s="40" t="str">
        <f aca="false">IF(C19="","",IFERROR(MIN(C19,D19)/'프로젝트별 구성'!G9,""))</f>
        <v/>
      </c>
      <c r="I19" s="10" t="str">
        <f aca="false">IF(C19="","",E19*C8)</f>
        <v/>
      </c>
      <c r="J19" s="41" t="str">
        <f aca="false">IF(C19="","타겟 입력 전",IF(E19=0,"OK — 지금 단가로 희망 마진 확보","추가 특가 필요"))</f>
        <v>타겟 입력 전</v>
      </c>
    </row>
    <row r="20" customFormat="false" ht="21.75" hidden="false" customHeight="true" outlineLevel="0" collapsed="false">
      <c r="A20" s="6" t="s">
        <v>11</v>
      </c>
      <c r="B20" s="31" t="s">
        <v>45</v>
      </c>
      <c r="C20" s="9" t="str">
        <f aca="false">IF(D9="","",ROUND(D9*(1-$B$4),0))</f>
        <v/>
      </c>
      <c r="D20" s="9" t="n">
        <f aca="false">E9</f>
        <v>384750</v>
      </c>
      <c r="E20" s="37" t="str">
        <f aca="false">IF(C20="","",MAX(D20-C20,0))</f>
        <v/>
      </c>
      <c r="F20" s="38" t="str">
        <f aca="false">IF(C20="","",E20/D20)</f>
        <v/>
      </c>
      <c r="G20" s="39" t="n">
        <f aca="false">IFERROR(D20/'프로젝트별 구성'!G11,"")</f>
        <v>0.45</v>
      </c>
      <c r="H20" s="40" t="str">
        <f aca="false">IF(C20="","",IFERROR(MIN(C20,D20)/'프로젝트별 구성'!G11,""))</f>
        <v/>
      </c>
      <c r="I20" s="10" t="str">
        <f aca="false">IF(C20="","",E20*C9)</f>
        <v/>
      </c>
      <c r="J20" s="41" t="str">
        <f aca="false">IF(C20="","타겟 입력 전",IF(E20=0,"OK — 지금 단가로 희망 마진 확보","추가 특가 필요"))</f>
        <v>타겟 입력 전</v>
      </c>
    </row>
    <row r="21" customFormat="false" ht="21.75" hidden="false" customHeight="true" outlineLevel="0" collapsed="false">
      <c r="A21" s="6" t="s">
        <v>13</v>
      </c>
      <c r="B21" s="31" t="s">
        <v>43</v>
      </c>
      <c r="C21" s="9" t="str">
        <f aca="false">IF(D10="","",ROUND(D10*(1-$B$4),0))</f>
        <v/>
      </c>
      <c r="D21" s="9" t="n">
        <f aca="false">E10</f>
        <v>417600</v>
      </c>
      <c r="E21" s="37" t="str">
        <f aca="false">IF(C21="","",MAX(D21-C21,0))</f>
        <v/>
      </c>
      <c r="F21" s="38" t="str">
        <f aca="false">IF(C21="","",E21/D21)</f>
        <v/>
      </c>
      <c r="G21" s="39" t="n">
        <f aca="false">IFERROR(D21/'프로젝트별 구성'!G19,"")</f>
        <v>0.45</v>
      </c>
      <c r="H21" s="40" t="str">
        <f aca="false">IF(C21="","",IFERROR(MIN(C21,D21)/'프로젝트별 구성'!G19,""))</f>
        <v/>
      </c>
      <c r="I21" s="10" t="str">
        <f aca="false">IF(C21="","",E21*C10)</f>
        <v/>
      </c>
      <c r="J21" s="41" t="str">
        <f aca="false">IF(C21="","타겟 입력 전",IF(E21=0,"OK — 지금 단가로 희망 마진 확보","추가 특가 필요"))</f>
        <v>타겟 입력 전</v>
      </c>
    </row>
    <row r="22" customFormat="false" ht="21.75" hidden="false" customHeight="true" outlineLevel="0" collapsed="false">
      <c r="A22" s="6" t="s">
        <v>13</v>
      </c>
      <c r="B22" s="31" t="s">
        <v>45</v>
      </c>
      <c r="C22" s="9" t="str">
        <f aca="false">IF(D11="","",ROUND(D11*(1-$B$4),0))</f>
        <v/>
      </c>
      <c r="D22" s="9" t="n">
        <f aca="false">E11</f>
        <v>406350</v>
      </c>
      <c r="E22" s="37" t="str">
        <f aca="false">IF(C22="","",MAX(D22-C22,0))</f>
        <v/>
      </c>
      <c r="F22" s="38" t="str">
        <f aca="false">IF(C22="","",E22/D22)</f>
        <v/>
      </c>
      <c r="G22" s="39" t="n">
        <f aca="false">IFERROR(D22/'프로젝트별 구성'!G21,"")</f>
        <v>0.45</v>
      </c>
      <c r="H22" s="40" t="str">
        <f aca="false">IF(C22="","",IFERROR(MIN(C22,D22)/'프로젝트별 구성'!G21,""))</f>
        <v/>
      </c>
      <c r="I22" s="10" t="str">
        <f aca="false">IF(C22="","",E22*C11)</f>
        <v/>
      </c>
      <c r="J22" s="41" t="str">
        <f aca="false">IF(C22="","타겟 입력 전",IF(E22=0,"OK — 지금 단가로 희망 마진 확보","추가 특가 필요"))</f>
        <v>타겟 입력 전</v>
      </c>
    </row>
    <row r="23" customFormat="false" ht="21.75" hidden="false" customHeight="true" outlineLevel="0" collapsed="false">
      <c r="A23" s="6" t="s">
        <v>15</v>
      </c>
      <c r="B23" s="31" t="s">
        <v>43</v>
      </c>
      <c r="C23" s="9" t="str">
        <f aca="false">IF(D12="","",ROUND(D12*(1-$B$4),0))</f>
        <v/>
      </c>
      <c r="D23" s="9" t="n">
        <f aca="false">E12</f>
        <v>531250</v>
      </c>
      <c r="E23" s="37" t="str">
        <f aca="false">IF(C23="","",MAX(D23-C23,0))</f>
        <v/>
      </c>
      <c r="F23" s="38" t="str">
        <f aca="false">IF(C23="","",E23/D23)</f>
        <v/>
      </c>
      <c r="G23" s="39" t="n">
        <f aca="false">IFERROR(D23/'프로젝트별 구성'!G30,"")</f>
        <v>0.435808039376538</v>
      </c>
      <c r="H23" s="40" t="str">
        <f aca="false">IF(C23="","",IFERROR(MIN(C23,D23)/'프로젝트별 구성'!G30,""))</f>
        <v/>
      </c>
      <c r="I23" s="10" t="str">
        <f aca="false">IF(C23="","",E23*C12)</f>
        <v/>
      </c>
      <c r="J23" s="41" t="str">
        <f aca="false">IF(C23="","타겟 입력 전",IF(E23=0,"OK — 지금 단가로 희망 마진 확보","추가 특가 필요"))</f>
        <v>타겟 입력 전</v>
      </c>
    </row>
    <row r="24" customFormat="false" ht="21.75" hidden="false" customHeight="true" outlineLevel="0" collapsed="false">
      <c r="A24" s="6" t="s">
        <v>15</v>
      </c>
      <c r="B24" s="31" t="s">
        <v>45</v>
      </c>
      <c r="C24" s="9" t="str">
        <f aca="false">IF(D13="","",ROUND(D13*(1-$B$4),0))</f>
        <v/>
      </c>
      <c r="D24" s="9" t="n">
        <f aca="false">E13</f>
        <v>523150</v>
      </c>
      <c r="E24" s="37" t="str">
        <f aca="false">IF(C24="","",MAX(D24-C24,0))</f>
        <v/>
      </c>
      <c r="F24" s="38" t="str">
        <f aca="false">IF(C24="","",E24/D24)</f>
        <v/>
      </c>
      <c r="G24" s="39" t="n">
        <f aca="false">IFERROR(D24/'프로젝트별 구성'!G33,"")</f>
        <v>0.435595337218984</v>
      </c>
      <c r="H24" s="40" t="str">
        <f aca="false">IF(C24="","",IFERROR(MIN(C24,D24)/'프로젝트별 구성'!G33,""))</f>
        <v/>
      </c>
      <c r="I24" s="10" t="str">
        <f aca="false">IF(C24="","",E24*C13)</f>
        <v/>
      </c>
      <c r="J24" s="41" t="str">
        <f aca="false">IF(C24="","타겟 입력 전",IF(E24=0,"OK — 지금 단가로 희망 마진 확보","추가 특가 필요"))</f>
        <v>타겟 입력 전</v>
      </c>
    </row>
    <row r="25" customFormat="false" ht="21.75" hidden="false" customHeight="true" outlineLevel="0" collapsed="false">
      <c r="A25" s="6" t="s">
        <v>17</v>
      </c>
      <c r="B25" s="31" t="s">
        <v>43</v>
      </c>
      <c r="C25" s="9" t="str">
        <f aca="false">IF(D14="","",ROUND(D14*(1-$B$4),0))</f>
        <v/>
      </c>
      <c r="D25" s="9" t="n">
        <f aca="false">E14</f>
        <v>983050</v>
      </c>
      <c r="E25" s="37" t="str">
        <f aca="false">IF(C25="","",MAX(D25-C25,0))</f>
        <v/>
      </c>
      <c r="F25" s="38" t="str">
        <f aca="false">IF(C25="","",E25/D25)</f>
        <v/>
      </c>
      <c r="G25" s="39" t="n">
        <f aca="false">IFERROR(D25/'프로젝트별 구성'!G46,"")</f>
        <v>0.420106837606838</v>
      </c>
      <c r="H25" s="40" t="str">
        <f aca="false">IF(C25="","",IFERROR(MIN(C25,D25)/'프로젝트별 구성'!G46,""))</f>
        <v/>
      </c>
      <c r="I25" s="10" t="str">
        <f aca="false">IF(C25="","",E25*C14)</f>
        <v/>
      </c>
      <c r="J25" s="41" t="str">
        <f aca="false">IF(C25="","타겟 입력 전",IF(E25=0,"OK — 지금 단가로 희망 마진 확보","추가 특가 필요"))</f>
        <v>타겟 입력 전</v>
      </c>
    </row>
    <row r="26" customFormat="false" ht="15" hidden="false" customHeight="false" outlineLevel="0" collapsed="false">
      <c r="A26" s="36" t="s">
        <v>54</v>
      </c>
    </row>
    <row r="28" customFormat="false" ht="16.4" hidden="false" customHeight="false" outlineLevel="0" collapsed="false">
      <c r="A28" s="30" t="s">
        <v>55</v>
      </c>
    </row>
    <row r="29" customFormat="false" ht="36" hidden="false" customHeight="true" outlineLevel="0" collapsed="false">
      <c r="A29" s="4" t="s">
        <v>56</v>
      </c>
      <c r="B29" s="4"/>
      <c r="C29" s="4" t="s">
        <v>57</v>
      </c>
      <c r="D29" s="4" t="s">
        <v>41</v>
      </c>
      <c r="E29" s="4" t="s">
        <v>42</v>
      </c>
      <c r="F29" s="4" t="s">
        <v>40</v>
      </c>
      <c r="G29" s="4" t="s">
        <v>58</v>
      </c>
    </row>
    <row r="30" customFormat="false" ht="25.5" hidden="false" customHeight="true" outlineLevel="0" collapsed="false">
      <c r="A30" s="42" t="s">
        <v>59</v>
      </c>
      <c r="B30" s="42"/>
      <c r="C30" s="9" t="n">
        <f aca="false">C8*E8+C10*E10+C12*E12+C14*E14</f>
        <v>328717500</v>
      </c>
      <c r="D30" s="9" t="str">
        <f aca="false">IF((D8="")+(D10="")+(D12="")+(D14="")&gt;0,"타겟 "&amp;((D8="")+(D10="")+(D12="")+(D14=""))&amp;"건 미입력",H8+H10+H12+H14)</f>
        <v>타겟 4건 미입력</v>
      </c>
      <c r="E30" s="43" t="str">
        <f aca="false">IF(ISNUMBER(D30),D30-C30,"")</f>
        <v/>
      </c>
      <c r="F30" s="44" t="str">
        <f aca="false">IF(ISNUMBER(D30),E30/D30,"")</f>
        <v/>
      </c>
      <c r="G30" s="45" t="str">
        <f aca="false">IF(ISNUMBER(D30),I19+I21+I23+I25,"")</f>
        <v/>
      </c>
    </row>
    <row r="31" customFormat="false" ht="25.5" hidden="false" customHeight="true" outlineLevel="0" collapsed="false">
      <c r="A31" s="42" t="s">
        <v>60</v>
      </c>
      <c r="B31" s="42"/>
      <c r="C31" s="9" t="n">
        <f aca="false">C9*E9+C11*E11+C13*E13+C14*E14</f>
        <v>323317500</v>
      </c>
      <c r="D31" s="9" t="str">
        <f aca="false">IF((D9="")+(D11="")+(D13="")+(D14="")&gt;0,"타겟 "&amp;((D9="")+(D11="")+(D13="")+(D14=""))&amp;"건 미입력",H9+H11+H13+H14)</f>
        <v>타겟 4건 미입력</v>
      </c>
      <c r="E31" s="43" t="str">
        <f aca="false">IF(ISNUMBER(D31),D31-C31,"")</f>
        <v/>
      </c>
      <c r="F31" s="44" t="str">
        <f aca="false">IF(ISNUMBER(D31),E31/D31,"")</f>
        <v/>
      </c>
      <c r="G31" s="45" t="str">
        <f aca="false">IF(ISNUMBER(D31),I20+I22+I24+I25,"")</f>
        <v/>
      </c>
    </row>
    <row r="33" customFormat="false" ht="15" hidden="false" customHeight="false" outlineLevel="0" collapsed="false">
      <c r="A33" s="46" t="s">
        <v>61</v>
      </c>
    </row>
    <row r="34" customFormat="false" ht="15" hidden="false" customHeight="false" outlineLevel="0" collapsed="false">
      <c r="A34" s="47" t="s">
        <v>62</v>
      </c>
    </row>
  </sheetData>
  <mergeCells count="3">
    <mergeCell ref="A29:B29"/>
    <mergeCell ref="A30:B30"/>
    <mergeCell ref="A31:B31"/>
  </mergeCells>
  <conditionalFormatting sqref="F8:I14">
    <cfRule type="expression" priority="2" aboveAverage="0" equalAverage="0" bottom="0" percent="0" rank="0" text="" dxfId="0">
      <formula>AND(ISNUMBER(F8),F8&lt;0)</formula>
    </cfRule>
  </conditionalFormatting>
  <conditionalFormatting sqref="J19:J25">
    <cfRule type="expression" priority="3" aboveAverage="0" equalAverage="0" bottom="0" percent="0" rank="0" text="" dxfId="1">
      <formula>J19="추가 특가 필요"</formula>
    </cfRule>
    <cfRule type="expression" priority="4" aboveAverage="0" equalAverage="0" bottom="0" percent="0" rank="0" text="" dxfId="2">
      <formula>LEFT(J19,2)="OK"</formula>
    </cfRule>
  </conditionalFormatting>
  <conditionalFormatting sqref="E30:F31">
    <cfRule type="expression" priority="5" aboveAverage="0" equalAverage="0" bottom="0" percent="0" rank="0" text="" dxfId="0">
      <formula>AND(ISNUMBER(E30),E30&lt;0)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48" t="s">
        <v>63</v>
      </c>
    </row>
    <row r="2" customFormat="false" ht="15" hidden="false" customHeight="false" outlineLevel="0" collapsed="false">
      <c r="A2" s="2" t="s">
        <v>64</v>
      </c>
    </row>
    <row r="4" customFormat="false" ht="36" hidden="false" customHeight="true" outlineLevel="0" collapsed="false">
      <c r="A4" s="4" t="s">
        <v>65</v>
      </c>
      <c r="B4" s="4" t="s">
        <v>66</v>
      </c>
      <c r="C4" s="4" t="s">
        <v>67</v>
      </c>
      <c r="D4" s="5" t="s">
        <v>68</v>
      </c>
      <c r="E4" s="5" t="s">
        <v>69</v>
      </c>
      <c r="F4" s="5" t="s">
        <v>70</v>
      </c>
      <c r="G4" s="5" t="s">
        <v>71</v>
      </c>
      <c r="H4" s="4" t="s">
        <v>72</v>
      </c>
    </row>
    <row r="5" customFormat="false" ht="19.5" hidden="false" customHeight="true" outlineLevel="0" collapsed="false">
      <c r="A5" s="49" t="s">
        <v>73</v>
      </c>
      <c r="B5" s="7" t="str">
        <f aca="false">VLOOKUP(A5,단가표!$B$5:$G$24,3,FALSE())</f>
        <v>CPU (입력 14 / 출력 10)</v>
      </c>
      <c r="C5" s="9" t="n">
        <f aca="false">VLOOKUP(A5,단가표!$B$5:$G$24,6,FALSE())</f>
        <v>392850</v>
      </c>
      <c r="D5" s="50" t="n">
        <f aca="false">1*요약!$C$6+1*요약!$C$8</f>
        <v>250</v>
      </c>
      <c r="E5" s="9" t="n">
        <f aca="false">C5*D5</f>
        <v>98212500</v>
      </c>
      <c r="F5" s="50" t="n">
        <v>0</v>
      </c>
      <c r="G5" s="9" t="n">
        <f aca="false">C5*F5</f>
        <v>0</v>
      </c>
      <c r="H5" s="51" t="s">
        <v>74</v>
      </c>
    </row>
    <row r="6" customFormat="false" ht="19.5" hidden="false" customHeight="true" outlineLevel="0" collapsed="false">
      <c r="A6" s="49" t="s">
        <v>75</v>
      </c>
      <c r="B6" s="7" t="str">
        <f aca="false">VLOOKUP(A6,단가표!$B$5:$G$24,3,FALSE())</f>
        <v>CPU (입력 14 / 출력 10 = 릴레이 6 + TR 4)</v>
      </c>
      <c r="C6" s="9" t="n">
        <f aca="false">VLOOKUP(A6,단가표!$B$5:$G$24,6,FALSE())</f>
        <v>384750</v>
      </c>
      <c r="D6" s="50" t="n">
        <v>0</v>
      </c>
      <c r="E6" s="9" t="n">
        <f aca="false">C6*D6</f>
        <v>0</v>
      </c>
      <c r="F6" s="50" t="n">
        <f aca="false">1*요약!$C$6+1*요약!$C$8</f>
        <v>250</v>
      </c>
      <c r="G6" s="9" t="n">
        <f aca="false">C6*F6</f>
        <v>96187500</v>
      </c>
      <c r="H6" s="51" t="s">
        <v>74</v>
      </c>
    </row>
    <row r="7" customFormat="false" ht="19.5" hidden="false" customHeight="true" outlineLevel="0" collapsed="false">
      <c r="A7" s="49" t="s">
        <v>76</v>
      </c>
      <c r="B7" s="7" t="str">
        <f aca="false">VLOOKUP(A7,단가표!$B$5:$G$24,3,FALSE())</f>
        <v>CPU (입력 24 / 출력 16)</v>
      </c>
      <c r="C7" s="9" t="n">
        <f aca="false">VLOOKUP(A7,단가표!$B$5:$G$24,6,FALSE())</f>
        <v>417600</v>
      </c>
      <c r="D7" s="50" t="n">
        <f aca="false">1*요약!$C$7</f>
        <v>300</v>
      </c>
      <c r="E7" s="9" t="n">
        <f aca="false">C7*D7</f>
        <v>125280000</v>
      </c>
      <c r="F7" s="50" t="n">
        <v>0</v>
      </c>
      <c r="G7" s="9" t="n">
        <f aca="false">C7*F7</f>
        <v>0</v>
      </c>
      <c r="H7" s="51" t="s">
        <v>13</v>
      </c>
    </row>
    <row r="8" customFormat="false" ht="19.5" hidden="false" customHeight="true" outlineLevel="0" collapsed="false">
      <c r="A8" s="49" t="s">
        <v>77</v>
      </c>
      <c r="B8" s="7" t="str">
        <f aca="false">VLOOKUP(A8,단가표!$B$5:$G$24,3,FALSE())</f>
        <v>CPU (입력 24 / 출력 16 = 릴레이 12 + TR 4)</v>
      </c>
      <c r="C8" s="9" t="n">
        <f aca="false">VLOOKUP(A8,단가표!$B$5:$G$24,6,FALSE())</f>
        <v>406350</v>
      </c>
      <c r="D8" s="50" t="n">
        <v>0</v>
      </c>
      <c r="E8" s="9" t="n">
        <f aca="false">C8*D8</f>
        <v>0</v>
      </c>
      <c r="F8" s="50" t="n">
        <f aca="false">1*요약!$C$7</f>
        <v>300</v>
      </c>
      <c r="G8" s="9" t="n">
        <f aca="false">C8*F8</f>
        <v>121905000</v>
      </c>
      <c r="H8" s="51" t="s">
        <v>13</v>
      </c>
    </row>
    <row r="9" customFormat="false" ht="19.5" hidden="false" customHeight="true" outlineLevel="0" collapsed="false">
      <c r="A9" s="49" t="s">
        <v>78</v>
      </c>
      <c r="B9" s="7" t="str">
        <f aca="false">VLOOKUP(A9,단가표!$B$5:$G$24,3,FALSE())</f>
        <v>CPU + 이더넷 (입력 24 / 출력 16) — MCC, 견적에 없어 추정가</v>
      </c>
      <c r="C9" s="37" t="n">
        <f aca="false">VLOOKUP(A9,단가표!$B$5:$G$24,6,FALSE())</f>
        <v>423450</v>
      </c>
      <c r="D9" s="50" t="n">
        <f aca="false">1*요약!$C$9</f>
        <v>100</v>
      </c>
      <c r="E9" s="9" t="n">
        <f aca="false">C9*D9</f>
        <v>42345000</v>
      </c>
      <c r="F9" s="50" t="n">
        <f aca="false">1*요약!$C$9</f>
        <v>100</v>
      </c>
      <c r="G9" s="9" t="n">
        <f aca="false">C9*F9</f>
        <v>42345000</v>
      </c>
      <c r="H9" s="52" t="s">
        <v>79</v>
      </c>
    </row>
    <row r="10" customFormat="false" ht="19.5" hidden="false" customHeight="true" outlineLevel="0" collapsed="false">
      <c r="A10" s="49" t="s">
        <v>80</v>
      </c>
      <c r="B10" s="7" t="str">
        <f aca="false">VLOOKUP(A10,단가표!$B$5:$G$24,3,FALSE())</f>
        <v>디지털 입력 16점</v>
      </c>
      <c r="C10" s="9" t="n">
        <f aca="false">VLOOKUP(A10,단가표!$B$5:$G$24,6,FALSE())</f>
        <v>91200</v>
      </c>
      <c r="D10" s="50" t="n">
        <f aca="false">2*요약!$C$9</f>
        <v>200</v>
      </c>
      <c r="E10" s="9" t="n">
        <f aca="false">C10*D10</f>
        <v>18240000</v>
      </c>
      <c r="F10" s="50" t="n">
        <f aca="false">2*요약!$C$9</f>
        <v>200</v>
      </c>
      <c r="G10" s="9" t="n">
        <f aca="false">C10*F10</f>
        <v>18240000</v>
      </c>
      <c r="H10" s="51" t="s">
        <v>81</v>
      </c>
    </row>
    <row r="11" customFormat="false" ht="19.5" hidden="false" customHeight="true" outlineLevel="0" collapsed="false">
      <c r="A11" s="49" t="s">
        <v>82</v>
      </c>
      <c r="B11" s="7" t="str">
        <f aca="false">VLOOKUP(A11,단가표!$B$5:$G$24,3,FALSE())</f>
        <v>디지털 입력 8점</v>
      </c>
      <c r="C11" s="9" t="n">
        <f aca="false">VLOOKUP(A11,단가표!$B$5:$G$24,6,FALSE())</f>
        <v>80800</v>
      </c>
      <c r="D11" s="50" t="n">
        <f aca="false">1*요약!$C$9</f>
        <v>100</v>
      </c>
      <c r="E11" s="9" t="n">
        <f aca="false">C11*D11</f>
        <v>8080000</v>
      </c>
      <c r="F11" s="50" t="n">
        <f aca="false">1*요약!$C$9</f>
        <v>100</v>
      </c>
      <c r="G11" s="9" t="n">
        <f aca="false">C11*F11</f>
        <v>8080000</v>
      </c>
      <c r="H11" s="51" t="s">
        <v>17</v>
      </c>
    </row>
    <row r="12" customFormat="false" ht="19.5" hidden="false" customHeight="true" outlineLevel="0" collapsed="false">
      <c r="A12" s="49" t="s">
        <v>83</v>
      </c>
      <c r="B12" s="7" t="str">
        <f aca="false">VLOOKUP(A12,단가표!$B$5:$G$24,3,FALSE())</f>
        <v>트랜지스터 출력 16점</v>
      </c>
      <c r="C12" s="9" t="n">
        <f aca="false">VLOOKUP(A12,단가표!$B$5:$G$24,6,FALSE())</f>
        <v>90800</v>
      </c>
      <c r="D12" s="50" t="n">
        <f aca="false">1*요약!$C$9</f>
        <v>100</v>
      </c>
      <c r="E12" s="9" t="n">
        <f aca="false">C12*D12</f>
        <v>9080000</v>
      </c>
      <c r="F12" s="50" t="n">
        <f aca="false">1*요약!$C$9</f>
        <v>100</v>
      </c>
      <c r="G12" s="9" t="n">
        <f aca="false">C12*F12</f>
        <v>9080000</v>
      </c>
      <c r="H12" s="51" t="s">
        <v>17</v>
      </c>
    </row>
    <row r="13" customFormat="false" ht="19.5" hidden="false" customHeight="true" outlineLevel="0" collapsed="false">
      <c r="A13" s="49" t="s">
        <v>84</v>
      </c>
      <c r="B13" s="7" t="str">
        <f aca="false">VLOOKUP(A13,단가표!$B$5:$G$24,3,FALSE())</f>
        <v>트랜지스터 출력 8점</v>
      </c>
      <c r="C13" s="9" t="n">
        <f aca="false">VLOOKUP(A13,단가표!$B$5:$G$24,6,FALSE())</f>
        <v>67200</v>
      </c>
      <c r="D13" s="50" t="n">
        <f aca="false">1*요약!$C$9</f>
        <v>100</v>
      </c>
      <c r="E13" s="9" t="n">
        <f aca="false">C13*D13</f>
        <v>6720000</v>
      </c>
      <c r="F13" s="50" t="n">
        <f aca="false">1*요약!$C$9</f>
        <v>100</v>
      </c>
      <c r="G13" s="9" t="n">
        <f aca="false">C13*F13</f>
        <v>6720000</v>
      </c>
      <c r="H13" s="51" t="s">
        <v>17</v>
      </c>
    </row>
    <row r="14" customFormat="false" ht="19.5" hidden="false" customHeight="true" outlineLevel="0" collapsed="false">
      <c r="A14" s="49" t="s">
        <v>85</v>
      </c>
      <c r="B14" s="7" t="str">
        <f aca="false">VLOOKUP(A14,단가표!$B$5:$G$24,3,FALSE())</f>
        <v>아날로그 출력 2CH</v>
      </c>
      <c r="C14" s="9" t="n">
        <f aca="false">VLOOKUP(A14,단가표!$B$5:$G$24,6,FALSE())</f>
        <v>138400</v>
      </c>
      <c r="D14" s="50" t="n">
        <f aca="false">1*요약!$C$8+1*요약!$C$9</f>
        <v>150</v>
      </c>
      <c r="E14" s="9" t="n">
        <f aca="false">C14*D14</f>
        <v>20760000</v>
      </c>
      <c r="F14" s="50" t="n">
        <f aca="false">1*요약!$C$8+1*요약!$C$9</f>
        <v>150</v>
      </c>
      <c r="G14" s="9" t="n">
        <f aca="false">C14*F14</f>
        <v>20760000</v>
      </c>
      <c r="H14" s="51" t="s">
        <v>86</v>
      </c>
    </row>
    <row r="15" customFormat="false" ht="24" hidden="false" customHeight="true" outlineLevel="0" collapsed="false">
      <c r="A15" s="13" t="s">
        <v>20</v>
      </c>
      <c r="B15" s="13"/>
      <c r="C15" s="13"/>
      <c r="D15" s="53" t="n">
        <f aca="false">SUM(D5:D14)</f>
        <v>1300</v>
      </c>
      <c r="E15" s="54" t="n">
        <f aca="false">SUM(E5:E14)</f>
        <v>328717500</v>
      </c>
      <c r="F15" s="53" t="n">
        <f aca="false">SUM(F5:F14)</f>
        <v>1300</v>
      </c>
      <c r="G15" s="54" t="n">
        <f aca="false">SUM(G5:G14)</f>
        <v>323317500</v>
      </c>
      <c r="H15" s="15"/>
    </row>
    <row r="17" customFormat="false" ht="15" hidden="false" customHeight="false" outlineLevel="0" collapsed="false">
      <c r="A17" s="55" t="s">
        <v>87</v>
      </c>
    </row>
    <row r="18" customFormat="false" ht="15" hidden="false" customHeight="false" outlineLevel="0" collapsed="false">
      <c r="A18" s="55" t="s">
        <v>88</v>
      </c>
    </row>
  </sheetData>
  <mergeCells count="1"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32"/>
    <col collapsed="false" customWidth="true" hidden="false" outlineLevel="0" max="6" min="6" style="0" width="7"/>
    <col collapsed="false" customWidth="true" hidden="false" outlineLevel="0" max="7" min="7" style="0" width="44"/>
  </cols>
  <sheetData>
    <row r="1" customFormat="false" ht="19.4" hidden="false" customHeight="false" outlineLevel="0" collapsed="false">
      <c r="A1" s="27" t="s">
        <v>89</v>
      </c>
    </row>
    <row r="2" customFormat="false" ht="15" hidden="false" customHeight="false" outlineLevel="0" collapsed="false">
      <c r="A2" s="2" t="s">
        <v>90</v>
      </c>
    </row>
    <row r="3" customFormat="false" ht="15" hidden="false" customHeight="true" outlineLevel="0" collapsed="false">
      <c r="A3" s="56" t="s">
        <v>91</v>
      </c>
      <c r="B3" s="56"/>
      <c r="C3" s="57" t="s">
        <v>92</v>
      </c>
      <c r="D3" s="58" t="s">
        <v>93</v>
      </c>
      <c r="E3" s="59" t="str">
        <f aca="false">"✕ "&amp;COUNTIF(F7:F24,"✕")&amp;"건   △ "&amp;COUNTIF(F7:F24,"△")&amp;"건   ○ "&amp;COUNTIF(F7:F24,"○")&amp;"건"</f>
        <v>✕ 2건   △ 5건   ○ 11건</v>
      </c>
      <c r="F3" s="59"/>
      <c r="G3" s="59"/>
    </row>
    <row r="6" customFormat="false" ht="25.5" hidden="false" customHeight="true" outlineLevel="0" collapsed="false">
      <c r="A6" s="5" t="s">
        <v>94</v>
      </c>
      <c r="B6" s="4" t="s">
        <v>95</v>
      </c>
      <c r="C6" s="4" t="s">
        <v>96</v>
      </c>
      <c r="D6" s="5" t="s">
        <v>97</v>
      </c>
      <c r="E6" s="5" t="s">
        <v>98</v>
      </c>
      <c r="F6" s="4" t="s">
        <v>53</v>
      </c>
      <c r="G6" s="4" t="s">
        <v>99</v>
      </c>
    </row>
    <row r="7" customFormat="false" ht="48" hidden="false" customHeight="true" outlineLevel="0" collapsed="false">
      <c r="A7" s="31" t="n">
        <v>1</v>
      </c>
      <c r="B7" s="60" t="s">
        <v>100</v>
      </c>
      <c r="C7" s="61" t="s">
        <v>101</v>
      </c>
      <c r="D7" s="62" t="s">
        <v>102</v>
      </c>
      <c r="E7" s="7" t="s">
        <v>103</v>
      </c>
      <c r="F7" s="63" t="s">
        <v>104</v>
      </c>
      <c r="G7" s="62" t="s">
        <v>105</v>
      </c>
    </row>
    <row r="8" customFormat="false" ht="48" hidden="false" customHeight="true" outlineLevel="0" collapsed="false">
      <c r="A8" s="31" t="n">
        <v>2</v>
      </c>
      <c r="B8" s="60" t="s">
        <v>100</v>
      </c>
      <c r="C8" s="61" t="s">
        <v>106</v>
      </c>
      <c r="D8" s="62" t="s">
        <v>107</v>
      </c>
      <c r="E8" s="7" t="s">
        <v>108</v>
      </c>
      <c r="F8" s="63" t="s">
        <v>104</v>
      </c>
      <c r="G8" s="62" t="s">
        <v>109</v>
      </c>
    </row>
    <row r="9" customFormat="false" ht="48" hidden="false" customHeight="true" outlineLevel="0" collapsed="false">
      <c r="A9" s="31" t="n">
        <v>3</v>
      </c>
      <c r="B9" s="60" t="s">
        <v>100</v>
      </c>
      <c r="C9" s="61" t="s">
        <v>110</v>
      </c>
      <c r="D9" s="62" t="s">
        <v>111</v>
      </c>
      <c r="E9" s="7" t="s">
        <v>112</v>
      </c>
      <c r="F9" s="63" t="s">
        <v>104</v>
      </c>
      <c r="G9" s="62" t="s">
        <v>113</v>
      </c>
    </row>
    <row r="10" customFormat="false" ht="33.75" hidden="false" customHeight="true" outlineLevel="0" collapsed="false">
      <c r="A10" s="31" t="n">
        <v>4</v>
      </c>
      <c r="B10" s="60" t="s">
        <v>100</v>
      </c>
      <c r="C10" s="61" t="s">
        <v>114</v>
      </c>
      <c r="D10" s="7" t="s">
        <v>115</v>
      </c>
      <c r="E10" s="62" t="s">
        <v>116</v>
      </c>
      <c r="F10" s="63" t="s">
        <v>104</v>
      </c>
      <c r="G10" s="62" t="s">
        <v>117</v>
      </c>
    </row>
    <row r="11" customFormat="false" ht="33.75" hidden="false" customHeight="true" outlineLevel="0" collapsed="false">
      <c r="A11" s="31" t="n">
        <v>5</v>
      </c>
      <c r="B11" s="60" t="s">
        <v>100</v>
      </c>
      <c r="C11" s="61" t="s">
        <v>118</v>
      </c>
      <c r="D11" s="62" t="s">
        <v>119</v>
      </c>
      <c r="E11" s="62" t="s">
        <v>120</v>
      </c>
      <c r="F11" s="63" t="s">
        <v>104</v>
      </c>
      <c r="G11" s="62" t="s">
        <v>121</v>
      </c>
    </row>
    <row r="12" customFormat="false" ht="33.75" hidden="false" customHeight="true" outlineLevel="0" collapsed="false">
      <c r="A12" s="31" t="n">
        <v>6</v>
      </c>
      <c r="B12" s="60" t="s">
        <v>100</v>
      </c>
      <c r="C12" s="61" t="s">
        <v>122</v>
      </c>
      <c r="D12" s="7" t="s">
        <v>123</v>
      </c>
      <c r="E12" s="7" t="s">
        <v>124</v>
      </c>
      <c r="F12" s="63" t="s">
        <v>104</v>
      </c>
      <c r="G12" s="62" t="s">
        <v>125</v>
      </c>
    </row>
    <row r="13" customFormat="false" ht="21.75" hidden="false" customHeight="true" outlineLevel="0" collapsed="false">
      <c r="A13" s="31" t="n">
        <v>7</v>
      </c>
      <c r="B13" s="60" t="s">
        <v>100</v>
      </c>
      <c r="C13" s="61" t="s">
        <v>126</v>
      </c>
      <c r="D13" s="7" t="s">
        <v>127</v>
      </c>
      <c r="E13" s="62" t="s">
        <v>128</v>
      </c>
      <c r="F13" s="63" t="s">
        <v>104</v>
      </c>
      <c r="G13" s="7" t="s">
        <v>129</v>
      </c>
    </row>
    <row r="14" customFormat="false" ht="33.75" hidden="false" customHeight="true" outlineLevel="0" collapsed="false">
      <c r="A14" s="31" t="n">
        <v>8</v>
      </c>
      <c r="B14" s="60" t="s">
        <v>130</v>
      </c>
      <c r="C14" s="64" t="s">
        <v>131</v>
      </c>
      <c r="D14" s="7" t="s">
        <v>132</v>
      </c>
      <c r="E14" s="7" t="s">
        <v>133</v>
      </c>
      <c r="F14" s="63" t="s">
        <v>104</v>
      </c>
      <c r="G14" s="62" t="s">
        <v>125</v>
      </c>
    </row>
    <row r="15" customFormat="false" ht="48" hidden="false" customHeight="true" outlineLevel="0" collapsed="false">
      <c r="A15" s="31" t="n">
        <v>9</v>
      </c>
      <c r="B15" s="60" t="s">
        <v>130</v>
      </c>
      <c r="C15" s="61" t="s">
        <v>134</v>
      </c>
      <c r="D15" s="7" t="s">
        <v>135</v>
      </c>
      <c r="E15" s="7" t="s">
        <v>136</v>
      </c>
      <c r="F15" s="63" t="s">
        <v>104</v>
      </c>
      <c r="G15" s="62" t="s">
        <v>137</v>
      </c>
    </row>
    <row r="16" customFormat="false" ht="48" hidden="false" customHeight="true" outlineLevel="0" collapsed="false">
      <c r="A16" s="31" t="n">
        <v>10</v>
      </c>
      <c r="B16" s="60" t="s">
        <v>130</v>
      </c>
      <c r="C16" s="61" t="s">
        <v>138</v>
      </c>
      <c r="D16" s="7" t="s">
        <v>139</v>
      </c>
      <c r="E16" s="7" t="s">
        <v>140</v>
      </c>
      <c r="F16" s="63" t="s">
        <v>104</v>
      </c>
      <c r="G16" s="7" t="s">
        <v>141</v>
      </c>
    </row>
    <row r="17" customFormat="false" ht="33.75" hidden="false" customHeight="true" outlineLevel="0" collapsed="false">
      <c r="A17" s="31" t="n">
        <v>11</v>
      </c>
      <c r="B17" s="60" t="s">
        <v>130</v>
      </c>
      <c r="C17" s="61" t="s">
        <v>142</v>
      </c>
      <c r="D17" s="7" t="s">
        <v>143</v>
      </c>
      <c r="E17" s="7" t="s">
        <v>144</v>
      </c>
      <c r="F17" s="65" t="s">
        <v>145</v>
      </c>
      <c r="G17" s="66" t="s">
        <v>146</v>
      </c>
    </row>
    <row r="18" customFormat="false" ht="21.75" hidden="false" customHeight="true" outlineLevel="0" collapsed="false">
      <c r="A18" s="31" t="n">
        <v>12</v>
      </c>
      <c r="B18" s="60" t="s">
        <v>130</v>
      </c>
      <c r="C18" s="64" t="s">
        <v>147</v>
      </c>
      <c r="D18" s="7" t="s">
        <v>148</v>
      </c>
      <c r="E18" s="7" t="s">
        <v>149</v>
      </c>
      <c r="F18" s="67" t="s">
        <v>150</v>
      </c>
      <c r="G18" s="68" t="s">
        <v>151</v>
      </c>
    </row>
    <row r="19" customFormat="false" ht="48" hidden="false" customHeight="true" outlineLevel="0" collapsed="false">
      <c r="A19" s="31" t="n">
        <v>13</v>
      </c>
      <c r="B19" s="60" t="s">
        <v>130</v>
      </c>
      <c r="C19" s="61" t="s">
        <v>152</v>
      </c>
      <c r="D19" s="62" t="s">
        <v>153</v>
      </c>
      <c r="E19" s="62" t="s">
        <v>154</v>
      </c>
      <c r="F19" s="65" t="s">
        <v>145</v>
      </c>
      <c r="G19" s="69" t="s">
        <v>155</v>
      </c>
    </row>
    <row r="20" customFormat="false" ht="33.75" hidden="false" customHeight="true" outlineLevel="0" collapsed="false">
      <c r="A20" s="31" t="n">
        <v>14</v>
      </c>
      <c r="B20" s="60" t="s">
        <v>130</v>
      </c>
      <c r="C20" s="64" t="s">
        <v>156</v>
      </c>
      <c r="D20" s="7" t="s">
        <v>157</v>
      </c>
      <c r="E20" s="7" t="s">
        <v>158</v>
      </c>
      <c r="F20" s="63" t="s">
        <v>104</v>
      </c>
      <c r="G20" s="62" t="s">
        <v>159</v>
      </c>
    </row>
    <row r="21" customFormat="false" ht="61.5" hidden="false" customHeight="true" outlineLevel="0" collapsed="false">
      <c r="A21" s="31" t="n">
        <v>15</v>
      </c>
      <c r="B21" s="60" t="s">
        <v>160</v>
      </c>
      <c r="C21" s="64" t="s">
        <v>161</v>
      </c>
      <c r="D21" s="62" t="s">
        <v>162</v>
      </c>
      <c r="E21" s="62" t="s">
        <v>163</v>
      </c>
      <c r="F21" s="65" t="s">
        <v>145</v>
      </c>
      <c r="G21" s="69" t="s">
        <v>164</v>
      </c>
    </row>
    <row r="22" customFormat="false" ht="75.75" hidden="false" customHeight="true" outlineLevel="0" collapsed="false">
      <c r="A22" s="31" t="n">
        <v>16</v>
      </c>
      <c r="B22" s="60" t="s">
        <v>160</v>
      </c>
      <c r="C22" s="61" t="s">
        <v>165</v>
      </c>
      <c r="D22" s="7" t="s">
        <v>166</v>
      </c>
      <c r="E22" s="62" t="s">
        <v>167</v>
      </c>
      <c r="F22" s="65" t="s">
        <v>145</v>
      </c>
      <c r="G22" s="66" t="s">
        <v>168</v>
      </c>
    </row>
    <row r="23" customFormat="false" ht="21.75" hidden="false" customHeight="true" outlineLevel="0" collapsed="false">
      <c r="A23" s="31" t="n">
        <v>17</v>
      </c>
      <c r="B23" s="60" t="s">
        <v>160</v>
      </c>
      <c r="C23" s="64" t="s">
        <v>169</v>
      </c>
      <c r="D23" s="62" t="s">
        <v>170</v>
      </c>
      <c r="E23" s="62" t="s">
        <v>171</v>
      </c>
      <c r="F23" s="67" t="s">
        <v>150</v>
      </c>
      <c r="G23" s="70" t="s">
        <v>172</v>
      </c>
    </row>
    <row r="24" customFormat="false" ht="33.75" hidden="false" customHeight="true" outlineLevel="0" collapsed="false">
      <c r="A24" s="31" t="n">
        <v>18</v>
      </c>
      <c r="B24" s="60" t="s">
        <v>160</v>
      </c>
      <c r="C24" s="61" t="s">
        <v>173</v>
      </c>
      <c r="D24" s="62" t="s">
        <v>174</v>
      </c>
      <c r="E24" s="62" t="s">
        <v>175</v>
      </c>
      <c r="F24" s="65" t="s">
        <v>145</v>
      </c>
      <c r="G24" s="69" t="s">
        <v>176</v>
      </c>
    </row>
    <row r="26" customFormat="false" ht="16.4" hidden="false" customHeight="false" outlineLevel="0" collapsed="false">
      <c r="A26" s="71" t="s">
        <v>177</v>
      </c>
    </row>
    <row r="27" customFormat="false" ht="19.5" hidden="false" customHeight="true" outlineLevel="0" collapsed="false">
      <c r="A27" s="25" t="s">
        <v>178</v>
      </c>
      <c r="B27" s="25"/>
      <c r="C27" s="25"/>
      <c r="D27" s="25"/>
      <c r="E27" s="25"/>
      <c r="F27" s="25"/>
      <c r="G27" s="25"/>
    </row>
  </sheetData>
  <mergeCells count="3">
    <mergeCell ref="A3:B3"/>
    <mergeCell ref="E3:G3"/>
    <mergeCell ref="A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3"/>
  </cols>
  <sheetData>
    <row r="1" customFormat="false" ht="19.4" hidden="false" customHeight="false" outlineLevel="0" collapsed="false">
      <c r="A1" s="48" t="s">
        <v>179</v>
      </c>
    </row>
    <row r="2" customFormat="false" ht="15" hidden="false" customHeight="false" outlineLevel="0" collapsed="false">
      <c r="A2" s="2" t="s">
        <v>180</v>
      </c>
    </row>
    <row r="4" customFormat="false" ht="24" hidden="false" customHeight="true" outlineLevel="0" collapsed="false">
      <c r="A4" s="72" t="s">
        <v>11</v>
      </c>
      <c r="B4" s="72"/>
      <c r="C4" s="72"/>
      <c r="D4" s="72"/>
      <c r="E4" s="72"/>
      <c r="F4" s="72"/>
      <c r="G4" s="72"/>
    </row>
    <row r="5" customFormat="false" ht="15" hidden="false" customHeight="true" outlineLevel="0" collapsed="false">
      <c r="A5" s="28" t="s">
        <v>181</v>
      </c>
      <c r="B5" s="73" t="s">
        <v>12</v>
      </c>
      <c r="C5" s="73"/>
      <c r="D5" s="73"/>
      <c r="E5" s="73"/>
      <c r="F5" s="73"/>
      <c r="G5" s="73"/>
    </row>
    <row r="6" customFormat="false" ht="15" hidden="false" customHeight="true" outlineLevel="0" collapsed="false">
      <c r="A6" s="28" t="s">
        <v>182</v>
      </c>
      <c r="B6" s="74" t="s">
        <v>183</v>
      </c>
      <c r="C6" s="74"/>
      <c r="D6" s="74"/>
      <c r="E6" s="74"/>
      <c r="F6" s="74"/>
      <c r="G6" s="74"/>
    </row>
    <row r="7" customFormat="false" ht="21.75" hidden="false" customHeight="true" outlineLevel="0" collapsed="false">
      <c r="A7" s="4" t="s">
        <v>35</v>
      </c>
      <c r="B7" s="4" t="s">
        <v>65</v>
      </c>
      <c r="C7" s="4" t="s">
        <v>66</v>
      </c>
      <c r="D7" s="4" t="s">
        <v>184</v>
      </c>
      <c r="E7" s="4" t="s">
        <v>185</v>
      </c>
      <c r="F7" s="4" t="s">
        <v>186</v>
      </c>
      <c r="G7" s="4" t="s">
        <v>187</v>
      </c>
    </row>
    <row r="8" customFormat="false" ht="15" hidden="false" customHeight="false" outlineLevel="0" collapsed="false">
      <c r="A8" s="31" t="s">
        <v>188</v>
      </c>
      <c r="B8" s="49" t="s">
        <v>73</v>
      </c>
      <c r="C8" s="75" t="str">
        <f aca="false">VLOOKUP(B8,단가표!$B$5:$G$24,3,FALSE())</f>
        <v>CPU (입력 14 / 출력 10)</v>
      </c>
      <c r="D8" s="31" t="n">
        <v>1</v>
      </c>
      <c r="E8" s="9" t="n">
        <f aca="false">VLOOKUP(B8,단가표!$B$5:$G$24,6,FALSE())</f>
        <v>392850</v>
      </c>
      <c r="F8" s="9" t="n">
        <f aca="false">D8*E8</f>
        <v>392850</v>
      </c>
      <c r="G8" s="76" t="n">
        <f aca="false">D8*VLOOKUP(B8,단가표!$B$5:$G$24,4,FALSE())</f>
        <v>873000</v>
      </c>
    </row>
    <row r="9" customFormat="false" ht="15" hidden="false" customHeight="false" outlineLevel="0" collapsed="false">
      <c r="A9" s="77" t="s">
        <v>189</v>
      </c>
      <c r="B9" s="77"/>
      <c r="C9" s="77"/>
      <c r="D9" s="77"/>
      <c r="E9" s="77"/>
      <c r="F9" s="54" t="n">
        <f aca="false">SUM(F8:F8)</f>
        <v>392850</v>
      </c>
      <c r="G9" s="78" t="n">
        <f aca="false">SUM(G8:G8)</f>
        <v>873000</v>
      </c>
    </row>
    <row r="10" customFormat="false" ht="15" hidden="false" customHeight="false" outlineLevel="0" collapsed="false">
      <c r="A10" s="31" t="s">
        <v>45</v>
      </c>
      <c r="B10" s="49" t="s">
        <v>75</v>
      </c>
      <c r="C10" s="75" t="str">
        <f aca="false">VLOOKUP(B10,단가표!$B$5:$G$24,3,FALSE())</f>
        <v>CPU (입력 14 / 출력 10 = 릴레이 6 + TR 4)</v>
      </c>
      <c r="D10" s="31" t="n">
        <v>1</v>
      </c>
      <c r="E10" s="9" t="n">
        <f aca="false">VLOOKUP(B10,단가표!$B$5:$G$24,6,FALSE())</f>
        <v>384750</v>
      </c>
      <c r="F10" s="9" t="n">
        <f aca="false">D10*E10</f>
        <v>384750</v>
      </c>
      <c r="G10" s="76" t="n">
        <f aca="false">D10*VLOOKUP(B10,단가표!$B$5:$G$24,4,FALSE())</f>
        <v>855000</v>
      </c>
    </row>
    <row r="11" customFormat="false" ht="15" hidden="false" customHeight="false" outlineLevel="0" collapsed="false">
      <c r="A11" s="77" t="s">
        <v>190</v>
      </c>
      <c r="B11" s="77"/>
      <c r="C11" s="77"/>
      <c r="D11" s="77"/>
      <c r="E11" s="77"/>
      <c r="F11" s="54" t="n">
        <f aca="false">SUM(F10:F10)</f>
        <v>384750</v>
      </c>
      <c r="G11" s="78" t="n">
        <f aca="false">SUM(G10:G10)</f>
        <v>855000</v>
      </c>
    </row>
    <row r="12" customFormat="false" ht="18" hidden="false" customHeight="true" outlineLevel="0" collapsed="false">
      <c r="A12" s="79" t="s">
        <v>191</v>
      </c>
      <c r="B12" s="79"/>
      <c r="C12" s="79"/>
      <c r="D12" s="79"/>
      <c r="E12" s="79"/>
      <c r="F12" s="79"/>
      <c r="G12" s="79"/>
    </row>
    <row r="14" customFormat="false" ht="24" hidden="false" customHeight="true" outlineLevel="0" collapsed="false">
      <c r="A14" s="72" t="s">
        <v>13</v>
      </c>
      <c r="B14" s="72"/>
      <c r="C14" s="72"/>
      <c r="D14" s="72"/>
      <c r="E14" s="72"/>
      <c r="F14" s="72"/>
      <c r="G14" s="72"/>
    </row>
    <row r="15" customFormat="false" ht="15" hidden="false" customHeight="true" outlineLevel="0" collapsed="false">
      <c r="A15" s="28" t="s">
        <v>181</v>
      </c>
      <c r="B15" s="73" t="s">
        <v>14</v>
      </c>
      <c r="C15" s="73"/>
      <c r="D15" s="73"/>
      <c r="E15" s="73"/>
      <c r="F15" s="73"/>
      <c r="G15" s="73"/>
    </row>
    <row r="16" customFormat="false" ht="15" hidden="false" customHeight="true" outlineLevel="0" collapsed="false">
      <c r="A16" s="28" t="s">
        <v>182</v>
      </c>
      <c r="B16" s="74" t="s">
        <v>192</v>
      </c>
      <c r="C16" s="74"/>
      <c r="D16" s="74"/>
      <c r="E16" s="74"/>
      <c r="F16" s="74"/>
      <c r="G16" s="74"/>
    </row>
    <row r="17" customFormat="false" ht="21.75" hidden="false" customHeight="true" outlineLevel="0" collapsed="false">
      <c r="A17" s="4" t="s">
        <v>35</v>
      </c>
      <c r="B17" s="4" t="s">
        <v>65</v>
      </c>
      <c r="C17" s="4" t="s">
        <v>66</v>
      </c>
      <c r="D17" s="4" t="s">
        <v>184</v>
      </c>
      <c r="E17" s="4" t="s">
        <v>185</v>
      </c>
      <c r="F17" s="4" t="s">
        <v>186</v>
      </c>
      <c r="G17" s="4" t="s">
        <v>187</v>
      </c>
    </row>
    <row r="18" customFormat="false" ht="15" hidden="false" customHeight="false" outlineLevel="0" collapsed="false">
      <c r="A18" s="31" t="s">
        <v>188</v>
      </c>
      <c r="B18" s="49" t="s">
        <v>76</v>
      </c>
      <c r="C18" s="75" t="str">
        <f aca="false">VLOOKUP(B18,단가표!$B$5:$G$24,3,FALSE())</f>
        <v>CPU (입력 24 / 출력 16)</v>
      </c>
      <c r="D18" s="31" t="n">
        <v>1</v>
      </c>
      <c r="E18" s="9" t="n">
        <f aca="false">VLOOKUP(B18,단가표!$B$5:$G$24,6,FALSE())</f>
        <v>417600</v>
      </c>
      <c r="F18" s="9" t="n">
        <f aca="false">D18*E18</f>
        <v>417600</v>
      </c>
      <c r="G18" s="76" t="n">
        <f aca="false">D18*VLOOKUP(B18,단가표!$B$5:$G$24,4,FALSE())</f>
        <v>928000</v>
      </c>
    </row>
    <row r="19" customFormat="false" ht="15" hidden="false" customHeight="false" outlineLevel="0" collapsed="false">
      <c r="A19" s="77" t="s">
        <v>189</v>
      </c>
      <c r="B19" s="77"/>
      <c r="C19" s="77"/>
      <c r="D19" s="77"/>
      <c r="E19" s="77"/>
      <c r="F19" s="54" t="n">
        <f aca="false">SUM(F18:F18)</f>
        <v>417600</v>
      </c>
      <c r="G19" s="78" t="n">
        <f aca="false">SUM(G18:G18)</f>
        <v>928000</v>
      </c>
    </row>
    <row r="20" customFormat="false" ht="15" hidden="false" customHeight="false" outlineLevel="0" collapsed="false">
      <c r="A20" s="31" t="s">
        <v>45</v>
      </c>
      <c r="B20" s="49" t="s">
        <v>77</v>
      </c>
      <c r="C20" s="75" t="str">
        <f aca="false">VLOOKUP(B20,단가표!$B$5:$G$24,3,FALSE())</f>
        <v>CPU (입력 24 / 출력 16 = 릴레이 12 + TR 4)</v>
      </c>
      <c r="D20" s="31" t="n">
        <v>1</v>
      </c>
      <c r="E20" s="9" t="n">
        <f aca="false">VLOOKUP(B20,단가표!$B$5:$G$24,6,FALSE())</f>
        <v>406350</v>
      </c>
      <c r="F20" s="9" t="n">
        <f aca="false">D20*E20</f>
        <v>406350</v>
      </c>
      <c r="G20" s="76" t="n">
        <f aca="false">D20*VLOOKUP(B20,단가표!$B$5:$G$24,4,FALSE())</f>
        <v>903000</v>
      </c>
    </row>
    <row r="21" customFormat="false" ht="15" hidden="false" customHeight="false" outlineLevel="0" collapsed="false">
      <c r="A21" s="77" t="s">
        <v>190</v>
      </c>
      <c r="B21" s="77"/>
      <c r="C21" s="77"/>
      <c r="D21" s="77"/>
      <c r="E21" s="77"/>
      <c r="F21" s="54" t="n">
        <f aca="false">SUM(F20:F20)</f>
        <v>406350</v>
      </c>
      <c r="G21" s="78" t="n">
        <f aca="false">SUM(G20:G20)</f>
        <v>903000</v>
      </c>
    </row>
    <row r="22" customFormat="false" ht="30" hidden="false" customHeight="true" outlineLevel="0" collapsed="false">
      <c r="A22" s="80" t="s">
        <v>193</v>
      </c>
      <c r="B22" s="80"/>
      <c r="C22" s="80"/>
      <c r="D22" s="80"/>
      <c r="E22" s="80"/>
      <c r="F22" s="80"/>
      <c r="G22" s="80"/>
    </row>
    <row r="24" customFormat="false" ht="24" hidden="false" customHeight="true" outlineLevel="0" collapsed="false">
      <c r="A24" s="72" t="s">
        <v>15</v>
      </c>
      <c r="B24" s="72"/>
      <c r="C24" s="72"/>
      <c r="D24" s="72"/>
      <c r="E24" s="72"/>
      <c r="F24" s="72"/>
      <c r="G24" s="72"/>
    </row>
    <row r="25" customFormat="false" ht="15" hidden="false" customHeight="true" outlineLevel="0" collapsed="false">
      <c r="A25" s="28" t="s">
        <v>181</v>
      </c>
      <c r="B25" s="73" t="s">
        <v>16</v>
      </c>
      <c r="C25" s="73"/>
      <c r="D25" s="73"/>
      <c r="E25" s="73"/>
      <c r="F25" s="73"/>
      <c r="G25" s="73"/>
    </row>
    <row r="26" customFormat="false" ht="15" hidden="false" customHeight="true" outlineLevel="0" collapsed="false">
      <c r="A26" s="28" t="s">
        <v>182</v>
      </c>
      <c r="B26" s="74" t="s">
        <v>194</v>
      </c>
      <c r="C26" s="74"/>
      <c r="D26" s="74"/>
      <c r="E26" s="74"/>
      <c r="F26" s="74"/>
      <c r="G26" s="74"/>
    </row>
    <row r="27" customFormat="false" ht="21.75" hidden="false" customHeight="true" outlineLevel="0" collapsed="false">
      <c r="A27" s="4" t="s">
        <v>35</v>
      </c>
      <c r="B27" s="4" t="s">
        <v>65</v>
      </c>
      <c r="C27" s="4" t="s">
        <v>66</v>
      </c>
      <c r="D27" s="4" t="s">
        <v>184</v>
      </c>
      <c r="E27" s="4" t="s">
        <v>185</v>
      </c>
      <c r="F27" s="4" t="s">
        <v>186</v>
      </c>
      <c r="G27" s="4" t="s">
        <v>187</v>
      </c>
    </row>
    <row r="28" customFormat="false" ht="15" hidden="false" customHeight="true" outlineLevel="0" collapsed="false">
      <c r="A28" s="31" t="s">
        <v>188</v>
      </c>
      <c r="B28" s="49" t="s">
        <v>73</v>
      </c>
      <c r="C28" s="75" t="str">
        <f aca="false">VLOOKUP(B28,단가표!$B$5:$G$24,3,FALSE())</f>
        <v>CPU (입력 14 / 출력 10)</v>
      </c>
      <c r="D28" s="31" t="n">
        <v>1</v>
      </c>
      <c r="E28" s="9" t="n">
        <f aca="false">VLOOKUP(B28,단가표!$B$5:$G$24,6,FALSE())</f>
        <v>392850</v>
      </c>
      <c r="F28" s="9" t="n">
        <f aca="false">D28*E28</f>
        <v>392850</v>
      </c>
      <c r="G28" s="76" t="n">
        <f aca="false">D28*VLOOKUP(B28,단가표!$B$5:$G$24,4,FALSE())</f>
        <v>873000</v>
      </c>
    </row>
    <row r="29" customFormat="false" ht="15" hidden="false" customHeight="false" outlineLevel="0" collapsed="false">
      <c r="A29" s="31"/>
      <c r="B29" s="49" t="s">
        <v>85</v>
      </c>
      <c r="C29" s="75" t="str">
        <f aca="false">VLOOKUP(B29,단가표!$B$5:$G$24,3,FALSE())</f>
        <v>아날로그 출력 2CH</v>
      </c>
      <c r="D29" s="31" t="n">
        <v>1</v>
      </c>
      <c r="E29" s="9" t="n">
        <f aca="false">VLOOKUP(B29,단가표!$B$5:$G$24,6,FALSE())</f>
        <v>138400</v>
      </c>
      <c r="F29" s="9" t="n">
        <f aca="false">D29*E29</f>
        <v>138400</v>
      </c>
      <c r="G29" s="76" t="n">
        <f aca="false">D29*VLOOKUP(B29,단가표!$B$5:$G$24,4,FALSE())</f>
        <v>346000</v>
      </c>
    </row>
    <row r="30" customFormat="false" ht="15" hidden="false" customHeight="false" outlineLevel="0" collapsed="false">
      <c r="A30" s="77" t="s">
        <v>189</v>
      </c>
      <c r="B30" s="77"/>
      <c r="C30" s="77"/>
      <c r="D30" s="77"/>
      <c r="E30" s="77"/>
      <c r="F30" s="54" t="n">
        <f aca="false">SUM(F28:F29)</f>
        <v>531250</v>
      </c>
      <c r="G30" s="78" t="n">
        <f aca="false">SUM(G28:G29)</f>
        <v>1219000</v>
      </c>
    </row>
    <row r="31" customFormat="false" ht="15" hidden="false" customHeight="true" outlineLevel="0" collapsed="false">
      <c r="A31" s="31" t="s">
        <v>45</v>
      </c>
      <c r="B31" s="49" t="s">
        <v>75</v>
      </c>
      <c r="C31" s="75" t="str">
        <f aca="false">VLOOKUP(B31,단가표!$B$5:$G$24,3,FALSE())</f>
        <v>CPU (입력 14 / 출력 10 = 릴레이 6 + TR 4)</v>
      </c>
      <c r="D31" s="31" t="n">
        <v>1</v>
      </c>
      <c r="E31" s="9" t="n">
        <f aca="false">VLOOKUP(B31,단가표!$B$5:$G$24,6,FALSE())</f>
        <v>384750</v>
      </c>
      <c r="F31" s="9" t="n">
        <f aca="false">D31*E31</f>
        <v>384750</v>
      </c>
      <c r="G31" s="76" t="n">
        <f aca="false">D31*VLOOKUP(B31,단가표!$B$5:$G$24,4,FALSE())</f>
        <v>855000</v>
      </c>
    </row>
    <row r="32" customFormat="false" ht="15" hidden="false" customHeight="false" outlineLevel="0" collapsed="false">
      <c r="A32" s="31"/>
      <c r="B32" s="49" t="s">
        <v>85</v>
      </c>
      <c r="C32" s="75" t="str">
        <f aca="false">VLOOKUP(B32,단가표!$B$5:$G$24,3,FALSE())</f>
        <v>아날로그 출력 2CH</v>
      </c>
      <c r="D32" s="31" t="n">
        <v>1</v>
      </c>
      <c r="E32" s="9" t="n">
        <f aca="false">VLOOKUP(B32,단가표!$B$5:$G$24,6,FALSE())</f>
        <v>138400</v>
      </c>
      <c r="F32" s="9" t="n">
        <f aca="false">D32*E32</f>
        <v>138400</v>
      </c>
      <c r="G32" s="76" t="n">
        <f aca="false">D32*VLOOKUP(B32,단가표!$B$5:$G$24,4,FALSE())</f>
        <v>346000</v>
      </c>
    </row>
    <row r="33" customFormat="false" ht="15" hidden="false" customHeight="false" outlineLevel="0" collapsed="false">
      <c r="A33" s="77" t="s">
        <v>190</v>
      </c>
      <c r="B33" s="77"/>
      <c r="C33" s="77"/>
      <c r="D33" s="77"/>
      <c r="E33" s="77"/>
      <c r="F33" s="54" t="n">
        <f aca="false">SUM(F31:F32)</f>
        <v>523150</v>
      </c>
      <c r="G33" s="78" t="n">
        <f aca="false">SUM(G31:G32)</f>
        <v>1201000</v>
      </c>
    </row>
    <row r="34" customFormat="false" ht="18" hidden="false" customHeight="true" outlineLevel="0" collapsed="false">
      <c r="A34" s="79" t="s">
        <v>195</v>
      </c>
      <c r="B34" s="79"/>
      <c r="C34" s="79"/>
      <c r="D34" s="79"/>
      <c r="E34" s="79"/>
      <c r="F34" s="79"/>
      <c r="G34" s="79"/>
    </row>
    <row r="36" customFormat="false" ht="24" hidden="false" customHeight="true" outlineLevel="0" collapsed="false">
      <c r="A36" s="72" t="s">
        <v>17</v>
      </c>
      <c r="B36" s="72"/>
      <c r="C36" s="72"/>
      <c r="D36" s="72"/>
      <c r="E36" s="72"/>
      <c r="F36" s="72"/>
      <c r="G36" s="72"/>
    </row>
    <row r="37" customFormat="false" ht="15" hidden="false" customHeight="true" outlineLevel="0" collapsed="false">
      <c r="A37" s="28" t="s">
        <v>181</v>
      </c>
      <c r="B37" s="73" t="s">
        <v>18</v>
      </c>
      <c r="C37" s="73"/>
      <c r="D37" s="73"/>
      <c r="E37" s="73"/>
      <c r="F37" s="73"/>
      <c r="G37" s="73"/>
    </row>
    <row r="38" customFormat="false" ht="15" hidden="false" customHeight="true" outlineLevel="0" collapsed="false">
      <c r="A38" s="28" t="s">
        <v>182</v>
      </c>
      <c r="B38" s="73" t="s">
        <v>196</v>
      </c>
      <c r="C38" s="73"/>
      <c r="D38" s="73"/>
      <c r="E38" s="73"/>
      <c r="F38" s="73"/>
      <c r="G38" s="73"/>
    </row>
    <row r="39" customFormat="false" ht="21.75" hidden="false" customHeight="true" outlineLevel="0" collapsed="false">
      <c r="A39" s="4" t="s">
        <v>35</v>
      </c>
      <c r="B39" s="4" t="s">
        <v>65</v>
      </c>
      <c r="C39" s="4" t="s">
        <v>66</v>
      </c>
      <c r="D39" s="4" t="s">
        <v>184</v>
      </c>
      <c r="E39" s="4" t="s">
        <v>185</v>
      </c>
      <c r="F39" s="4" t="s">
        <v>186</v>
      </c>
      <c r="G39" s="4" t="s">
        <v>187</v>
      </c>
    </row>
    <row r="40" customFormat="false" ht="26.85" hidden="false" customHeight="true" outlineLevel="0" collapsed="false">
      <c r="A40" s="31" t="s">
        <v>197</v>
      </c>
      <c r="B40" s="49" t="s">
        <v>78</v>
      </c>
      <c r="C40" s="75" t="str">
        <f aca="false">VLOOKUP(B40,단가표!$B$5:$G$24,3,FALSE())</f>
        <v>CPU + 이더넷 (입력 24 / 출력 16) — MCC, 견적에 없어 추정가</v>
      </c>
      <c r="D40" s="31" t="n">
        <v>1</v>
      </c>
      <c r="E40" s="9" t="n">
        <f aca="false">VLOOKUP(B40,단가표!$B$5:$G$24,6,FALSE())</f>
        <v>423450</v>
      </c>
      <c r="F40" s="9" t="n">
        <f aca="false">D40*E40</f>
        <v>423450</v>
      </c>
      <c r="G40" s="76" t="n">
        <f aca="false">D40*VLOOKUP(B40,단가표!$B$5:$G$24,4,FALSE())</f>
        <v>941000</v>
      </c>
    </row>
    <row r="41" customFormat="false" ht="15" hidden="false" customHeight="false" outlineLevel="0" collapsed="false">
      <c r="A41" s="31"/>
      <c r="B41" s="49" t="s">
        <v>80</v>
      </c>
      <c r="C41" s="75" t="str">
        <f aca="false">VLOOKUP(B41,단가표!$B$5:$G$24,3,FALSE())</f>
        <v>디지털 입력 16점</v>
      </c>
      <c r="D41" s="31" t="n">
        <v>2</v>
      </c>
      <c r="E41" s="9" t="n">
        <f aca="false">VLOOKUP(B41,단가표!$B$5:$G$24,6,FALSE())</f>
        <v>91200</v>
      </c>
      <c r="F41" s="9" t="n">
        <f aca="false">D41*E41</f>
        <v>182400</v>
      </c>
      <c r="G41" s="76" t="n">
        <f aca="false">D41*VLOOKUP(B41,단가표!$B$5:$G$24,4,FALSE())</f>
        <v>456000</v>
      </c>
    </row>
    <row r="42" customFormat="false" ht="15" hidden="false" customHeight="false" outlineLevel="0" collapsed="false">
      <c r="A42" s="31"/>
      <c r="B42" s="49" t="s">
        <v>82</v>
      </c>
      <c r="C42" s="75" t="str">
        <f aca="false">VLOOKUP(B42,단가표!$B$5:$G$24,3,FALSE())</f>
        <v>디지털 입력 8점</v>
      </c>
      <c r="D42" s="31" t="n">
        <v>1</v>
      </c>
      <c r="E42" s="9" t="n">
        <f aca="false">VLOOKUP(B42,단가표!$B$5:$G$24,6,FALSE())</f>
        <v>80800</v>
      </c>
      <c r="F42" s="9" t="n">
        <f aca="false">D42*E42</f>
        <v>80800</v>
      </c>
      <c r="G42" s="76" t="n">
        <f aca="false">D42*VLOOKUP(B42,단가표!$B$5:$G$24,4,FALSE())</f>
        <v>202000</v>
      </c>
    </row>
    <row r="43" customFormat="false" ht="15" hidden="false" customHeight="false" outlineLevel="0" collapsed="false">
      <c r="A43" s="31"/>
      <c r="B43" s="49" t="s">
        <v>83</v>
      </c>
      <c r="C43" s="75" t="str">
        <f aca="false">VLOOKUP(B43,단가표!$B$5:$G$24,3,FALSE())</f>
        <v>트랜지스터 출력 16점</v>
      </c>
      <c r="D43" s="31" t="n">
        <v>1</v>
      </c>
      <c r="E43" s="9" t="n">
        <f aca="false">VLOOKUP(B43,단가표!$B$5:$G$24,6,FALSE())</f>
        <v>90800</v>
      </c>
      <c r="F43" s="9" t="n">
        <f aca="false">D43*E43</f>
        <v>90800</v>
      </c>
      <c r="G43" s="76" t="n">
        <f aca="false">D43*VLOOKUP(B43,단가표!$B$5:$G$24,4,FALSE())</f>
        <v>227000</v>
      </c>
    </row>
    <row r="44" customFormat="false" ht="15" hidden="false" customHeight="false" outlineLevel="0" collapsed="false">
      <c r="A44" s="31"/>
      <c r="B44" s="49" t="s">
        <v>84</v>
      </c>
      <c r="C44" s="75" t="str">
        <f aca="false">VLOOKUP(B44,단가표!$B$5:$G$24,3,FALSE())</f>
        <v>트랜지스터 출력 8점</v>
      </c>
      <c r="D44" s="31" t="n">
        <v>1</v>
      </c>
      <c r="E44" s="9" t="n">
        <f aca="false">VLOOKUP(B44,단가표!$B$5:$G$24,6,FALSE())</f>
        <v>67200</v>
      </c>
      <c r="F44" s="9" t="n">
        <f aca="false">D44*E44</f>
        <v>67200</v>
      </c>
      <c r="G44" s="76" t="n">
        <f aca="false">D44*VLOOKUP(B44,단가표!$B$5:$G$24,4,FALSE())</f>
        <v>168000</v>
      </c>
    </row>
    <row r="45" customFormat="false" ht="15" hidden="false" customHeight="false" outlineLevel="0" collapsed="false">
      <c r="A45" s="31"/>
      <c r="B45" s="49" t="s">
        <v>85</v>
      </c>
      <c r="C45" s="75" t="str">
        <f aca="false">VLOOKUP(B45,단가표!$B$5:$G$24,3,FALSE())</f>
        <v>아날로그 출력 2CH</v>
      </c>
      <c r="D45" s="31" t="n">
        <v>1</v>
      </c>
      <c r="E45" s="9" t="n">
        <f aca="false">VLOOKUP(B45,단가표!$B$5:$G$24,6,FALSE())</f>
        <v>138400</v>
      </c>
      <c r="F45" s="9" t="n">
        <f aca="false">D45*E45</f>
        <v>138400</v>
      </c>
      <c r="G45" s="76" t="n">
        <f aca="false">D45*VLOOKUP(B45,단가표!$B$5:$G$24,4,FALSE())</f>
        <v>346000</v>
      </c>
    </row>
    <row r="46" customFormat="false" ht="15" hidden="false" customHeight="false" outlineLevel="0" collapsed="false">
      <c r="A46" s="77" t="s">
        <v>189</v>
      </c>
      <c r="B46" s="77"/>
      <c r="C46" s="77"/>
      <c r="D46" s="77"/>
      <c r="E46" s="77"/>
      <c r="F46" s="54" t="n">
        <f aca="false">SUM(F40:F45)</f>
        <v>983050</v>
      </c>
      <c r="G46" s="78" t="n">
        <f aca="false">SUM(G40:G45)</f>
        <v>2340000</v>
      </c>
    </row>
    <row r="47" customFormat="false" ht="30" hidden="false" customHeight="true" outlineLevel="0" collapsed="false">
      <c r="A47" s="80" t="s">
        <v>198</v>
      </c>
      <c r="B47" s="80"/>
      <c r="C47" s="80"/>
      <c r="D47" s="80"/>
      <c r="E47" s="80"/>
      <c r="F47" s="80"/>
      <c r="G47" s="80"/>
    </row>
  </sheetData>
  <mergeCells count="26">
    <mergeCell ref="A4:G4"/>
    <mergeCell ref="B5:G5"/>
    <mergeCell ref="B6:G6"/>
    <mergeCell ref="A9:E9"/>
    <mergeCell ref="A11:E11"/>
    <mergeCell ref="A12:G12"/>
    <mergeCell ref="A14:G14"/>
    <mergeCell ref="B15:G15"/>
    <mergeCell ref="B16:G16"/>
    <mergeCell ref="A19:E19"/>
    <mergeCell ref="A21:E21"/>
    <mergeCell ref="A22:G22"/>
    <mergeCell ref="A24:G24"/>
    <mergeCell ref="B25:G25"/>
    <mergeCell ref="B26:G26"/>
    <mergeCell ref="A28:A29"/>
    <mergeCell ref="A30:E30"/>
    <mergeCell ref="A31:A32"/>
    <mergeCell ref="A33:E33"/>
    <mergeCell ref="A34:G34"/>
    <mergeCell ref="A36:G36"/>
    <mergeCell ref="B37:G37"/>
    <mergeCell ref="B38:G38"/>
    <mergeCell ref="A40:A45"/>
    <mergeCell ref="A46:E46"/>
    <mergeCell ref="A47:G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19.4" hidden="false" customHeight="false" outlineLevel="0" collapsed="false">
      <c r="A1" s="27" t="s">
        <v>199</v>
      </c>
    </row>
    <row r="3" customFormat="false" ht="15" hidden="false" customHeight="false" outlineLevel="0" collapsed="false">
      <c r="A3" s="28" t="s">
        <v>200</v>
      </c>
      <c r="B3" s="81" t="n">
        <v>0.45</v>
      </c>
    </row>
    <row r="4" customFormat="false" ht="15" hidden="false" customHeight="false" outlineLevel="0" collapsed="false">
      <c r="A4" s="28" t="s">
        <v>201</v>
      </c>
      <c r="B4" s="81" t="n">
        <v>0.4</v>
      </c>
      <c r="C4" s="2" t="s">
        <v>202</v>
      </c>
    </row>
    <row r="6" customFormat="false" ht="33.75" hidden="false" customHeight="true" outlineLevel="0" collapsed="false">
      <c r="A6" s="5" t="s">
        <v>203</v>
      </c>
      <c r="B6" s="4" t="s">
        <v>35</v>
      </c>
      <c r="C6" s="4" t="s">
        <v>204</v>
      </c>
      <c r="D6" s="4" t="s">
        <v>205</v>
      </c>
      <c r="E6" s="4" t="s">
        <v>206</v>
      </c>
      <c r="F6" s="5" t="s">
        <v>207</v>
      </c>
      <c r="G6" s="4" t="s">
        <v>36</v>
      </c>
      <c r="H6" s="4" t="s">
        <v>208</v>
      </c>
    </row>
    <row r="7" customFormat="false" ht="15" hidden="false" customHeight="false" outlineLevel="0" collapsed="false">
      <c r="A7" s="49" t="s">
        <v>73</v>
      </c>
      <c r="B7" s="31" t="s">
        <v>209</v>
      </c>
      <c r="C7" s="9" t="n">
        <f aca="false">VLOOKUP(A7,단가표!$B$5:$G$24,4,FALSE())</f>
        <v>873000</v>
      </c>
      <c r="D7" s="9" t="n">
        <f aca="false">ROUND(C7*$B$3,0)</f>
        <v>392850</v>
      </c>
      <c r="E7" s="9" t="n">
        <f aca="false">ROUND(C7*$B$4,0)</f>
        <v>349200</v>
      </c>
      <c r="F7" s="37" t="n">
        <f aca="false">D7-E7</f>
        <v>43650</v>
      </c>
      <c r="G7" s="32" t="n">
        <f aca="false">요약!C6+요약!C8</f>
        <v>250</v>
      </c>
      <c r="H7" s="10" t="n">
        <f aca="false">F7*G7</f>
        <v>10912500</v>
      </c>
      <c r="I7" s="82" t="s">
        <v>210</v>
      </c>
    </row>
    <row r="8" customFormat="false" ht="15" hidden="false" customHeight="false" outlineLevel="0" collapsed="false">
      <c r="A8" s="49" t="s">
        <v>76</v>
      </c>
      <c r="B8" s="31" t="s">
        <v>209</v>
      </c>
      <c r="C8" s="9" t="n">
        <f aca="false">VLOOKUP(A8,단가표!$B$5:$G$24,4,FALSE())</f>
        <v>928000</v>
      </c>
      <c r="D8" s="9" t="n">
        <f aca="false">ROUND(C8*$B$3,0)</f>
        <v>417600</v>
      </c>
      <c r="E8" s="9" t="n">
        <f aca="false">ROUND(C8*$B$4,0)</f>
        <v>371200</v>
      </c>
      <c r="F8" s="37" t="n">
        <f aca="false">D8-E8</f>
        <v>46400</v>
      </c>
      <c r="G8" s="32" t="n">
        <f aca="false">요약!C7</f>
        <v>300</v>
      </c>
      <c r="H8" s="10" t="n">
        <f aca="false">F8*G8</f>
        <v>13920000</v>
      </c>
      <c r="I8" s="82" t="s">
        <v>211</v>
      </c>
    </row>
    <row r="9" customFormat="false" ht="15" hidden="false" customHeight="false" outlineLevel="0" collapsed="false">
      <c r="A9" s="49" t="s">
        <v>78</v>
      </c>
      <c r="B9" s="31" t="s">
        <v>209</v>
      </c>
      <c r="C9" s="9" t="n">
        <f aca="false">VLOOKUP(A9,단가표!$B$5:$G$24,4,FALSE())</f>
        <v>941000</v>
      </c>
      <c r="D9" s="9" t="n">
        <f aca="false">ROUND(C9*$B$3,0)</f>
        <v>423450</v>
      </c>
      <c r="E9" s="9" t="n">
        <f aca="false">ROUND(C9*$B$4,0)</f>
        <v>376400</v>
      </c>
      <c r="F9" s="37" t="n">
        <f aca="false">D9-E9</f>
        <v>47050</v>
      </c>
      <c r="G9" s="32" t="n">
        <f aca="false">요약!C9</f>
        <v>100</v>
      </c>
      <c r="H9" s="10" t="n">
        <f aca="false">F9*G9</f>
        <v>4705000</v>
      </c>
      <c r="I9" s="82" t="s">
        <v>212</v>
      </c>
    </row>
    <row r="10" customFormat="false" ht="15" hidden="false" customHeight="false" outlineLevel="0" collapsed="false">
      <c r="A10" s="49" t="s">
        <v>75</v>
      </c>
      <c r="B10" s="31" t="s">
        <v>213</v>
      </c>
      <c r="C10" s="9" t="n">
        <f aca="false">VLOOKUP(A10,단가표!$B$5:$G$24,4,FALSE())</f>
        <v>855000</v>
      </c>
      <c r="D10" s="9" t="n">
        <f aca="false">ROUND(C10*$B$3,0)</f>
        <v>384750</v>
      </c>
      <c r="E10" s="9" t="n">
        <f aca="false">ROUND(C10*$B$4,0)</f>
        <v>342000</v>
      </c>
      <c r="F10" s="37" t="n">
        <f aca="false">D10-E10</f>
        <v>42750</v>
      </c>
      <c r="G10" s="32" t="n">
        <f aca="false">요약!C6+요약!C8</f>
        <v>250</v>
      </c>
      <c r="H10" s="10" t="n">
        <f aca="false">F10*G10</f>
        <v>10687500</v>
      </c>
      <c r="I10" s="82" t="s">
        <v>214</v>
      </c>
    </row>
    <row r="11" customFormat="false" ht="15" hidden="false" customHeight="false" outlineLevel="0" collapsed="false">
      <c r="A11" s="49" t="s">
        <v>77</v>
      </c>
      <c r="B11" s="31" t="s">
        <v>213</v>
      </c>
      <c r="C11" s="9" t="n">
        <f aca="false">VLOOKUP(A11,단가표!$B$5:$G$24,4,FALSE())</f>
        <v>903000</v>
      </c>
      <c r="D11" s="9" t="n">
        <f aca="false">ROUND(C11*$B$3,0)</f>
        <v>406350</v>
      </c>
      <c r="E11" s="9" t="n">
        <f aca="false">ROUND(C11*$B$4,0)</f>
        <v>361200</v>
      </c>
      <c r="F11" s="37" t="n">
        <f aca="false">D11-E11</f>
        <v>45150</v>
      </c>
      <c r="G11" s="32" t="n">
        <f aca="false">요약!C7</f>
        <v>300</v>
      </c>
      <c r="H11" s="10" t="n">
        <f aca="false">F11*G11</f>
        <v>13545000</v>
      </c>
      <c r="I11" s="82" t="s">
        <v>215</v>
      </c>
    </row>
    <row r="13" customFormat="false" ht="24" hidden="false" customHeight="true" outlineLevel="0" collapsed="false">
      <c r="A13" s="42" t="s">
        <v>216</v>
      </c>
      <c r="B13" s="42"/>
      <c r="C13" s="42"/>
      <c r="D13" s="42"/>
      <c r="E13" s="42"/>
      <c r="F13" s="42"/>
      <c r="G13" s="42"/>
      <c r="H13" s="16" t="n">
        <f aca="false">H7+H8+H9</f>
        <v>29537500</v>
      </c>
    </row>
    <row r="14" customFormat="false" ht="24" hidden="false" customHeight="true" outlineLevel="0" collapsed="false">
      <c r="A14" s="42" t="s">
        <v>217</v>
      </c>
      <c r="B14" s="42"/>
      <c r="C14" s="42"/>
      <c r="D14" s="42"/>
      <c r="E14" s="42"/>
      <c r="F14" s="42"/>
      <c r="G14" s="42"/>
      <c r="H14" s="16" t="n">
        <f aca="false">H9+H10+H11</f>
        <v>28937500</v>
      </c>
    </row>
    <row r="16" customFormat="false" ht="15" hidden="false" customHeight="false" outlineLevel="0" collapsed="false">
      <c r="A16" s="46" t="s">
        <v>218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48" t="s">
        <v>219</v>
      </c>
    </row>
    <row r="2" customFormat="false" ht="15" hidden="false" customHeight="false" outlineLevel="0" collapsed="false">
      <c r="A2" s="2" t="s">
        <v>220</v>
      </c>
    </row>
    <row r="4" customFormat="false" ht="30" hidden="false" customHeight="true" outlineLevel="0" collapsed="false">
      <c r="A4" s="5" t="s">
        <v>94</v>
      </c>
      <c r="B4" s="4" t="s">
        <v>65</v>
      </c>
      <c r="C4" s="4" t="s">
        <v>35</v>
      </c>
      <c r="D4" s="4" t="s">
        <v>66</v>
      </c>
      <c r="E4" s="4" t="s">
        <v>204</v>
      </c>
      <c r="F4" s="4" t="s">
        <v>221</v>
      </c>
      <c r="G4" s="4" t="s">
        <v>185</v>
      </c>
    </row>
    <row r="5" customFormat="false" ht="15" hidden="false" customHeight="false" outlineLevel="0" collapsed="false">
      <c r="A5" s="31" t="n">
        <v>1</v>
      </c>
      <c r="B5" s="49" t="s">
        <v>222</v>
      </c>
      <c r="C5" s="31" t="s">
        <v>209</v>
      </c>
      <c r="D5" s="83" t="s">
        <v>223</v>
      </c>
      <c r="E5" s="9" t="n">
        <v>886000</v>
      </c>
      <c r="F5" s="84" t="n">
        <v>0.45</v>
      </c>
      <c r="G5" s="10" t="n">
        <f aca="false">ROUND(E5*F5,0)</f>
        <v>398700</v>
      </c>
    </row>
    <row r="6" customFormat="false" ht="15" hidden="false" customHeight="false" outlineLevel="0" collapsed="false">
      <c r="A6" s="31" t="n">
        <v>2</v>
      </c>
      <c r="B6" s="49" t="s">
        <v>73</v>
      </c>
      <c r="C6" s="31" t="s">
        <v>209</v>
      </c>
      <c r="D6" s="83" t="s">
        <v>224</v>
      </c>
      <c r="E6" s="9" t="n">
        <v>873000</v>
      </c>
      <c r="F6" s="84" t="n">
        <v>0.45</v>
      </c>
      <c r="G6" s="10" t="n">
        <f aca="false">ROUND(E6*F6,0)</f>
        <v>392850</v>
      </c>
    </row>
    <row r="7" customFormat="false" ht="15" hidden="false" customHeight="false" outlineLevel="0" collapsed="false">
      <c r="A7" s="31" t="n">
        <v>3</v>
      </c>
      <c r="B7" s="49" t="s">
        <v>75</v>
      </c>
      <c r="C7" s="31" t="s">
        <v>213</v>
      </c>
      <c r="D7" s="83" t="s">
        <v>225</v>
      </c>
      <c r="E7" s="9" t="n">
        <v>855000</v>
      </c>
      <c r="F7" s="84" t="n">
        <v>0.45</v>
      </c>
      <c r="G7" s="10" t="n">
        <f aca="false">ROUND(E7*F7,0)</f>
        <v>384750</v>
      </c>
    </row>
    <row r="8" customFormat="false" ht="15" hidden="false" customHeight="false" outlineLevel="0" collapsed="false">
      <c r="A8" s="31" t="n">
        <v>4</v>
      </c>
      <c r="B8" s="49" t="s">
        <v>76</v>
      </c>
      <c r="C8" s="31" t="s">
        <v>209</v>
      </c>
      <c r="D8" s="83" t="s">
        <v>226</v>
      </c>
      <c r="E8" s="9" t="n">
        <v>928000</v>
      </c>
      <c r="F8" s="84" t="n">
        <v>0.45</v>
      </c>
      <c r="G8" s="10" t="n">
        <f aca="false">ROUND(E8*F8,0)</f>
        <v>417600</v>
      </c>
    </row>
    <row r="9" customFormat="false" ht="15" hidden="false" customHeight="false" outlineLevel="0" collapsed="false">
      <c r="A9" s="31" t="n">
        <v>5</v>
      </c>
      <c r="B9" s="49" t="s">
        <v>77</v>
      </c>
      <c r="C9" s="31" t="s">
        <v>213</v>
      </c>
      <c r="D9" s="83" t="s">
        <v>227</v>
      </c>
      <c r="E9" s="9" t="n">
        <v>903000</v>
      </c>
      <c r="F9" s="84" t="n">
        <v>0.45</v>
      </c>
      <c r="G9" s="10" t="n">
        <f aca="false">ROUND(E9*F9,0)</f>
        <v>406350</v>
      </c>
    </row>
    <row r="10" customFormat="false" ht="15" hidden="false" customHeight="false" outlineLevel="0" collapsed="false">
      <c r="A10" s="31" t="n">
        <v>6</v>
      </c>
      <c r="B10" s="49" t="s">
        <v>80</v>
      </c>
      <c r="C10" s="31" t="s">
        <v>228</v>
      </c>
      <c r="D10" s="85" t="s">
        <v>229</v>
      </c>
      <c r="E10" s="9" t="n">
        <v>228000</v>
      </c>
      <c r="F10" s="84" t="n">
        <v>0.4</v>
      </c>
      <c r="G10" s="10" t="n">
        <f aca="false">ROUND(E10*F10,0)</f>
        <v>91200</v>
      </c>
    </row>
    <row r="11" customFormat="false" ht="15" hidden="false" customHeight="false" outlineLevel="0" collapsed="false">
      <c r="A11" s="31" t="n">
        <v>7</v>
      </c>
      <c r="B11" s="49" t="s">
        <v>82</v>
      </c>
      <c r="C11" s="31" t="s">
        <v>228</v>
      </c>
      <c r="D11" s="85" t="s">
        <v>230</v>
      </c>
      <c r="E11" s="9" t="n">
        <v>202000</v>
      </c>
      <c r="F11" s="84" t="n">
        <v>0.4</v>
      </c>
      <c r="G11" s="10" t="n">
        <f aca="false">ROUND(E11*F11,0)</f>
        <v>80800</v>
      </c>
    </row>
    <row r="12" customFormat="false" ht="15" hidden="false" customHeight="false" outlineLevel="0" collapsed="false">
      <c r="A12" s="31" t="n">
        <v>8</v>
      </c>
      <c r="B12" s="49" t="s">
        <v>231</v>
      </c>
      <c r="C12" s="31" t="s">
        <v>228</v>
      </c>
      <c r="D12" s="85" t="s">
        <v>232</v>
      </c>
      <c r="E12" s="9" t="n">
        <v>227000</v>
      </c>
      <c r="F12" s="84" t="n">
        <v>0.4</v>
      </c>
      <c r="G12" s="10" t="n">
        <f aca="false">ROUND(E12*F12,0)</f>
        <v>90800</v>
      </c>
    </row>
    <row r="13" customFormat="false" ht="15" hidden="false" customHeight="false" outlineLevel="0" collapsed="false">
      <c r="A13" s="31" t="n">
        <v>9</v>
      </c>
      <c r="B13" s="49" t="s">
        <v>83</v>
      </c>
      <c r="C13" s="31" t="s">
        <v>228</v>
      </c>
      <c r="D13" s="85" t="s">
        <v>233</v>
      </c>
      <c r="E13" s="9" t="n">
        <v>227000</v>
      </c>
      <c r="F13" s="84" t="n">
        <v>0.4</v>
      </c>
      <c r="G13" s="10" t="n">
        <f aca="false">ROUND(E13*F13,0)</f>
        <v>90800</v>
      </c>
    </row>
    <row r="14" customFormat="false" ht="15" hidden="false" customHeight="false" outlineLevel="0" collapsed="false">
      <c r="A14" s="31" t="n">
        <v>10</v>
      </c>
      <c r="B14" s="49" t="s">
        <v>234</v>
      </c>
      <c r="C14" s="31" t="s">
        <v>228</v>
      </c>
      <c r="D14" s="85" t="s">
        <v>235</v>
      </c>
      <c r="E14" s="9" t="n">
        <v>213000</v>
      </c>
      <c r="F14" s="84" t="n">
        <v>0.4</v>
      </c>
      <c r="G14" s="10" t="n">
        <f aca="false">ROUND(E14*F14,0)</f>
        <v>85200</v>
      </c>
    </row>
    <row r="15" customFormat="false" ht="15" hidden="false" customHeight="false" outlineLevel="0" collapsed="false">
      <c r="A15" s="31" t="n">
        <v>11</v>
      </c>
      <c r="B15" s="49" t="s">
        <v>236</v>
      </c>
      <c r="C15" s="31" t="s">
        <v>228</v>
      </c>
      <c r="D15" s="85" t="s">
        <v>237</v>
      </c>
      <c r="E15" s="9" t="n">
        <v>161000</v>
      </c>
      <c r="F15" s="84" t="n">
        <v>0.4</v>
      </c>
      <c r="G15" s="10" t="n">
        <f aca="false">ROUND(E15*F15,0)</f>
        <v>64400</v>
      </c>
    </row>
    <row r="16" customFormat="false" ht="15" hidden="false" customHeight="false" outlineLevel="0" collapsed="false">
      <c r="A16" s="31" t="n">
        <v>12</v>
      </c>
      <c r="B16" s="49" t="s">
        <v>84</v>
      </c>
      <c r="C16" s="31" t="s">
        <v>228</v>
      </c>
      <c r="D16" s="85" t="s">
        <v>238</v>
      </c>
      <c r="E16" s="9" t="n">
        <v>168000</v>
      </c>
      <c r="F16" s="84" t="n">
        <v>0.4</v>
      </c>
      <c r="G16" s="10" t="n">
        <f aca="false">ROUND(E16*F16,0)</f>
        <v>67200</v>
      </c>
    </row>
    <row r="17" customFormat="false" ht="15" hidden="false" customHeight="false" outlineLevel="0" collapsed="false">
      <c r="A17" s="31" t="n">
        <v>13</v>
      </c>
      <c r="B17" s="49" t="s">
        <v>239</v>
      </c>
      <c r="C17" s="31" t="s">
        <v>228</v>
      </c>
      <c r="D17" s="85" t="s">
        <v>240</v>
      </c>
      <c r="E17" s="9" t="n">
        <v>168000</v>
      </c>
      <c r="F17" s="84" t="n">
        <v>0.4</v>
      </c>
      <c r="G17" s="10" t="n">
        <f aca="false">ROUND(E17*F17,0)</f>
        <v>67200</v>
      </c>
    </row>
    <row r="18" customFormat="false" ht="15" hidden="false" customHeight="false" outlineLevel="0" collapsed="false">
      <c r="A18" s="31" t="n">
        <v>14</v>
      </c>
      <c r="B18" s="49" t="s">
        <v>241</v>
      </c>
      <c r="C18" s="31" t="s">
        <v>228</v>
      </c>
      <c r="D18" s="85" t="s">
        <v>242</v>
      </c>
      <c r="E18" s="9" t="n">
        <v>311000</v>
      </c>
      <c r="F18" s="84" t="n">
        <v>0.4</v>
      </c>
      <c r="G18" s="10" t="n">
        <f aca="false">ROUND(E18*F18,0)</f>
        <v>124400</v>
      </c>
    </row>
    <row r="19" customFormat="false" ht="15" hidden="false" customHeight="false" outlineLevel="0" collapsed="false">
      <c r="A19" s="31" t="n">
        <v>15</v>
      </c>
      <c r="B19" s="49" t="s">
        <v>243</v>
      </c>
      <c r="C19" s="31" t="s">
        <v>228</v>
      </c>
      <c r="D19" s="85" t="s">
        <v>244</v>
      </c>
      <c r="E19" s="9" t="n">
        <v>284000</v>
      </c>
      <c r="F19" s="84" t="n">
        <v>0.4</v>
      </c>
      <c r="G19" s="10" t="n">
        <f aca="false">ROUND(E19*F19,0)</f>
        <v>113600</v>
      </c>
    </row>
    <row r="20" customFormat="false" ht="15" hidden="false" customHeight="false" outlineLevel="0" collapsed="false">
      <c r="A20" s="31" t="n">
        <v>16</v>
      </c>
      <c r="B20" s="49" t="s">
        <v>245</v>
      </c>
      <c r="C20" s="31" t="s">
        <v>228</v>
      </c>
      <c r="D20" s="85" t="s">
        <v>246</v>
      </c>
      <c r="E20" s="9" t="n">
        <v>331000</v>
      </c>
      <c r="F20" s="84" t="n">
        <v>0.4</v>
      </c>
      <c r="G20" s="10" t="n">
        <f aca="false">ROUND(E20*F20,0)</f>
        <v>132400</v>
      </c>
    </row>
    <row r="21" customFormat="false" ht="15" hidden="false" customHeight="false" outlineLevel="0" collapsed="false">
      <c r="A21" s="31" t="n">
        <v>17</v>
      </c>
      <c r="B21" s="49" t="s">
        <v>85</v>
      </c>
      <c r="C21" s="31" t="s">
        <v>228</v>
      </c>
      <c r="D21" s="85" t="s">
        <v>247</v>
      </c>
      <c r="E21" s="9" t="n">
        <v>346000</v>
      </c>
      <c r="F21" s="84" t="n">
        <v>0.4</v>
      </c>
      <c r="G21" s="10" t="n">
        <f aca="false">ROUND(E21*F21,0)</f>
        <v>138400</v>
      </c>
    </row>
    <row r="22" customFormat="false" ht="15" hidden="false" customHeight="false" outlineLevel="0" collapsed="false">
      <c r="A22" s="31" t="n">
        <v>18</v>
      </c>
      <c r="B22" s="49" t="s">
        <v>248</v>
      </c>
      <c r="C22" s="31" t="s">
        <v>228</v>
      </c>
      <c r="D22" s="85" t="s">
        <v>249</v>
      </c>
      <c r="E22" s="9" t="n">
        <v>351000</v>
      </c>
      <c r="F22" s="84" t="n">
        <v>0.4</v>
      </c>
      <c r="G22" s="10" t="n">
        <f aca="false">ROUND(E22*F22,0)</f>
        <v>140400</v>
      </c>
    </row>
    <row r="23" customFormat="false" ht="15" hidden="false" customHeight="true" outlineLevel="0" collapsed="false">
      <c r="A23" s="86" t="s">
        <v>250</v>
      </c>
      <c r="B23" s="86"/>
      <c r="C23" s="86"/>
      <c r="D23" s="86"/>
      <c r="E23" s="86"/>
      <c r="F23" s="86"/>
      <c r="G23" s="86"/>
    </row>
    <row r="24" customFormat="false" ht="15" hidden="false" customHeight="false" outlineLevel="0" collapsed="false">
      <c r="A24" s="31" t="s">
        <v>228</v>
      </c>
      <c r="B24" s="49" t="s">
        <v>78</v>
      </c>
      <c r="C24" s="31" t="s">
        <v>209</v>
      </c>
      <c r="D24" s="87" t="s">
        <v>251</v>
      </c>
      <c r="E24" s="88" t="n">
        <v>941000</v>
      </c>
      <c r="F24" s="89" t="n">
        <v>0.45</v>
      </c>
      <c r="G24" s="10" t="n">
        <f aca="false">IF(E24="",0,ROUND(E24*F24,0))</f>
        <v>423450</v>
      </c>
    </row>
    <row r="26" customFormat="false" ht="15" hidden="false" customHeight="false" outlineLevel="0" collapsed="false">
      <c r="A26" s="17" t="s">
        <v>252</v>
      </c>
    </row>
  </sheetData>
  <mergeCells count="1"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2026-10-06T01:08:12Z</dcterms:created>
  <dc:creator>openpyxl</dc:creator>
  <dc:description/>
  <dc:language>en-US</dc:language>
  <cp:lastModifiedBy/>
  <dcterms:modified xsi:type="dcterms:W3CDTF">2026-10-06T01:08:12Z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