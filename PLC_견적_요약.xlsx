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연간 BOM" sheetId="3" state="visible" r:id="rId5"/>
    <sheet name="Schneider 제안 검토" sheetId="4" state="visible" r:id="rId6"/>
    <sheet name="프로젝트별 구성" sheetId="5" state="visible" r:id="rId7"/>
    <sheet name="CPU 할인 효과" sheetId="6" state="visible" r:id="rId8"/>
    <sheet name="단가표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<sst xmlns="http://schemas.openxmlformats.org/spreadsheetml/2006/main" count="461" uniqueCount="269">
  <si>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</si>
  <si>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</si>
  <si>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</si>
  <si>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</si>
  <si>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</si>
  <si>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</si>
  <si>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</si>
  <si>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</si>
  <si>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</si>
  <si>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</si>
  <si>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</si>
  <si>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</si>
  <si>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</si>
  <si>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</si>
  <si>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</si>
  <si>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</si>
  <si>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</si>
  <si>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</si>
  <si>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</si>
  <si>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</si>
  <si>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</si>
  <si>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</si>
  <si>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r>
      <rPr>
        <b val="true"/>
        <sz val="13"/>
        <color rgb="FF1F3864"/>
        <rFont val="맑은 고딕"/>
        <family val="0"/>
        <charset val="1"/>
      </rPr>
      <t xml:space="preserve">MCC — Techross </t>
    </r>
    <r>
      <rPr>
        <b val="true"/>
        <sz val="13"/>
        <color rgb="FF1F3864"/>
        <rFont val="WenQuanYi Zen Hei"/>
        <family val="2"/>
      </rPr>
      <t xml:space="preserve">기준</t>
    </r>
    <r>
      <rPr>
        <b val="true"/>
        <sz val="13"/>
        <color rgb="FF1F3864"/>
        <rFont val="맑은 고딕"/>
        <family val="0"/>
        <charset val="1"/>
      </rPr>
      <t xml:space="preserve">(</t>
    </r>
    <r>
      <rPr>
        <b val="true"/>
        <sz val="13"/>
        <color rgb="FF1F3864"/>
        <rFont val="WenQuanYi Zen Hei"/>
        <family val="2"/>
      </rPr>
      <t xml:space="preserve">입력 </t>
    </r>
    <r>
      <rPr>
        <b val="true"/>
        <sz val="13"/>
        <color rgb="FF1F3864"/>
        <rFont val="맑은 고딕"/>
        <family val="0"/>
        <charset val="1"/>
      </rPr>
      <t xml:space="preserve">102 / </t>
    </r>
    <r>
      <rPr>
        <b val="true"/>
        <sz val="13"/>
        <color rgb="FF1F3864"/>
        <rFont val="WenQuanYi Zen Hei"/>
        <family val="2"/>
      </rPr>
      <t xml:space="preserve">출력 </t>
    </r>
    <r>
      <rPr>
        <b val="true"/>
        <sz val="13"/>
        <color rgb="FF1F3864"/>
        <rFont val="맑은 고딕"/>
        <family val="0"/>
        <charset val="1"/>
      </rPr>
      <t xml:space="preserve">54 / AO 4)</t>
    </r>
    <r>
      <rPr>
        <b val="true"/>
        <sz val="13"/>
        <color rgb="FF1F3864"/>
        <rFont val="WenQuanYi Zen Hei"/>
        <family val="2"/>
      </rPr>
      <t xml:space="preserve">으로 재구성  </t>
    </r>
    <r>
      <rPr>
        <b val="true"/>
        <sz val="13"/>
        <color rgb="FF1F3864"/>
        <rFont val="맑은 고딕"/>
        <family val="0"/>
        <charset val="1"/>
      </rPr>
      <t xml:space="preserve">(Relay·TR </t>
    </r>
    <r>
      <rPr>
        <b val="true"/>
        <sz val="13"/>
        <color rgb="FF1F3864"/>
        <rFont val="WenQuanYi Zen Hei"/>
        <family val="2"/>
      </rPr>
      <t xml:space="preserve">무관</t>
    </r>
    <r>
      <rPr>
        <b val="true"/>
        <sz val="13"/>
        <color rgb="FF1F3864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</si>
  <si>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</si>
  <si>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× </t>
    </r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)  /  </t>
    </r>
    <r>
      <rPr>
        <b val="true"/>
        <sz val="10"/>
        <color rgb="FFFFFFFF"/>
        <rFont val="WenQuanYi Zen Hei"/>
        <family val="2"/>
      </rPr>
      <t xml:space="preserve">제공 점수</t>
    </r>
  </si>
  <si>
    <t xml:space="preserve">판정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</si>
  <si>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</si>
  <si>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원안
대비 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</si>
  <si>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(MCC </t>
    </r>
    <r>
      <rPr>
        <b val="true"/>
        <sz val="10"/>
        <color rgb="FFFFFFFF"/>
        <rFont val="WenQuanYi Zen Hei"/>
        <family val="2"/>
      </rPr>
      <t xml:space="preserve">연간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</si>
  <si>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원안
대비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연간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</si>
  <si>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Schneider </t>
    </r>
    <r>
      <rPr>
        <b val="true"/>
        <sz val="10"/>
        <color rgb="FF000000"/>
        <rFont val="WenQuanYi Zen Hei"/>
        <family val="2"/>
      </rPr>
      <t xml:space="preserve">원안</t>
    </r>
  </si>
  <si>
    <r>
      <rPr>
        <sz val="9"/>
        <color rgb="FF000000"/>
        <rFont val="맑은 고딕"/>
        <family val="0"/>
        <charset val="1"/>
      </rPr>
      <t xml:space="preserve">TM241CE40T + TM3DI16×2 + TM3DI8 + TM3DQ16T + TM3DQ8T + TM3AQ2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AO 2</t>
    </r>
  </si>
  <si>
    <t xml:space="preserve">✕ 점수 부족</t>
  </si>
  <si>
    <t xml:space="preserve">-</t>
  </si>
  <si>
    <r>
      <rPr>
        <b val="true"/>
        <sz val="10"/>
        <color rgb="FF000000"/>
        <rFont val="맑은 고딕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안 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채택</t>
    </r>
    <r>
      <rPr>
        <b val="true"/>
        <sz val="10"/>
        <color rgb="FF000000"/>
        <rFont val="맑은 고딕"/>
        <family val="0"/>
        <charset val="1"/>
      </rPr>
      <t xml:space="preserve">)
CPU CE40T</t>
    </r>
  </si>
  <si>
    <r>
      <rPr>
        <sz val="9"/>
        <color rgb="FF000000"/>
        <rFont val="맑은 고딕"/>
        <family val="0"/>
        <charset val="1"/>
      </rPr>
      <t xml:space="preserve">TM241CE40T + TM3DI16×5 + TM3DQ16T×2 + TM3DQ8T + TM3AQ4 + TM3XTRA1·XREC1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56 / AO 4 · 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9</t>
    </r>
    <r>
      <rPr>
        <sz val="9"/>
        <color rgb="FF000000"/>
        <rFont val="WenQuanYi Zen Hei"/>
        <family val="2"/>
      </rPr>
      <t xml:space="preserve">개</t>
    </r>
  </si>
  <si>
    <t xml:space="preserve">○ 충족</t>
  </si>
  <si>
    <r>
      <rPr>
        <b val="true"/>
        <sz val="10"/>
        <color rgb="FF000000"/>
        <rFont val="맑은 고딕"/>
        <family val="0"/>
        <charset val="1"/>
      </rPr>
      <t xml:space="preserve">B</t>
    </r>
    <r>
      <rPr>
        <b val="true"/>
        <sz val="10"/>
        <color rgb="FF000000"/>
        <rFont val="WenQuanYi Zen Hei"/>
        <family val="2"/>
      </rPr>
      <t xml:space="preserve">안
</t>
    </r>
    <r>
      <rPr>
        <b val="true"/>
        <sz val="10"/>
        <color rgb="FF000000"/>
        <rFont val="맑은 고딕"/>
        <family val="0"/>
        <charset val="1"/>
      </rPr>
      <t xml:space="preserve">CPU CE24T</t>
    </r>
  </si>
  <si>
    <r>
      <rPr>
        <sz val="9"/>
        <color rgb="FF000000"/>
        <rFont val="맑은 고딕"/>
        <family val="0"/>
        <charset val="1"/>
      </rPr>
      <t xml:space="preserve">TM241CE24T + TM3DI16×5 + TM3DI8 + TM3DQ16T×3 + TM3AQ4 + TM3XTRA1·XREC1
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58 / AO 4 · 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전부 견적 단가</t>
    </r>
    <r>
      <rPr>
        <sz val="9"/>
        <color rgb="FF000000"/>
        <rFont val="맑은 고딕"/>
        <family val="0"/>
        <charset val="1"/>
      </rPr>
      <t xml:space="preserve">)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</si>
  <si>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</si>
  <si>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 그대로 — </t>
    </r>
    <r>
      <rPr>
        <sz val="10"/>
        <color rgb="FF375623"/>
        <rFont val="맑은 고딕"/>
        <family val="0"/>
        <charset val="1"/>
      </rPr>
      <t xml:space="preserve">Techross </t>
    </r>
    <r>
      <rPr>
        <sz val="10"/>
        <color rgb="FF375623"/>
        <rFont val="WenQuanYi Zen Hei"/>
        <family val="2"/>
      </rPr>
      <t xml:space="preserve">요구 충족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</si>
  <si>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 </t>
    </r>
    <r>
      <rPr>
        <sz val="10"/>
        <color rgb="FFC00000"/>
        <rFont val="WenQuanYi Zen Hei"/>
        <family val="2"/>
      </rPr>
      <t xml:space="preserve">확장 모듈 </t>
    </r>
    <r>
      <rPr>
        <sz val="10"/>
        <color rgb="FFC00000"/>
        <rFont val="맑은 고딕"/>
        <family val="0"/>
        <charset val="1"/>
      </rPr>
      <t xml:space="preserve">9</t>
    </r>
    <r>
      <rPr>
        <sz val="10"/>
        <color rgb="FFC00000"/>
        <rFont val="WenQuanYi Zen Hei"/>
        <family val="2"/>
      </rPr>
      <t xml:space="preserve">개 → 버스 확장 부품</t>
    </r>
    <r>
      <rPr>
        <sz val="10"/>
        <color rgb="FFC00000"/>
        <rFont val="맑은 고딕"/>
        <family val="0"/>
        <charset val="1"/>
      </rPr>
      <t xml:space="preserve">(TM3XTRA1/XREC1) </t>
    </r>
    <r>
      <rPr>
        <sz val="10"/>
        <color rgb="FFC00000"/>
        <rFont val="WenQuanYi Zen Hei"/>
        <family val="2"/>
      </rPr>
      <t xml:space="preserve">필요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가격 미정</t>
    </r>
    <r>
      <rPr>
        <sz val="10"/>
        <color rgb="FFC00000"/>
        <rFont val="맑은 고딕"/>
        <family val="0"/>
        <charset val="1"/>
      </rPr>
      <t xml:space="preserve">.  TM241CE40T(</t>
    </r>
    <r>
      <rPr>
        <sz val="10"/>
        <color rgb="FFC00000"/>
        <rFont val="WenQuanYi Zen Hei"/>
        <family val="2"/>
      </rPr>
      <t xml:space="preserve">연 </t>
    </r>
    <r>
      <rPr>
        <sz val="10"/>
        <color rgb="FFC00000"/>
        <rFont val="맑은 고딕"/>
        <family val="0"/>
        <charset val="1"/>
      </rPr>
      <t xml:space="preserve">100</t>
    </r>
    <r>
      <rPr>
        <sz val="10"/>
        <color rgb="FFC00000"/>
        <rFont val="WenQuanYi Zen Hei"/>
        <family val="2"/>
      </rPr>
      <t xml:space="preserve">대</t>
    </r>
    <r>
      <rPr>
        <sz val="10"/>
        <color rgb="FFC00000"/>
        <rFont val="맑은 고딕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도 견적에 없어 추정 단가 → </t>
    </r>
    <r>
      <rPr>
        <sz val="10"/>
        <color rgb="FFC00000"/>
        <rFont val="맑은 고딕"/>
        <family val="0"/>
        <charset val="1"/>
      </rPr>
      <t xml:space="preserve">Schneider</t>
    </r>
    <r>
      <rPr>
        <sz val="10"/>
        <color rgb="FFC00000"/>
        <rFont val="WenQuanYi Zen Hei"/>
        <family val="2"/>
      </rPr>
      <t xml:space="preserve">에 두 가지 모두 요청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</si>
  <si>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</si>
  <si>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</si>
  <si>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0"/>
        <charset val="1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</si>
  <si>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r>
      <rPr>
        <sz val="9"/>
        <color rgb="FF595959"/>
        <rFont val="WenQuanYi Zen Hei"/>
        <family val="2"/>
      </rPr>
      <t xml:space="preserve">사용법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노란 칸에 </t>
    </r>
    <r>
      <rPr>
        <sz val="9"/>
        <color rgb="FF595959"/>
        <rFont val="맑은 고딕"/>
        <family val="0"/>
        <charset val="1"/>
      </rPr>
      <t xml:space="preserve">LS 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입력  ② 희망 마진율 입력  → 지금 마진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그리고 희망 마진을 남기려면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에 얼마나 더 깎아야 하는지 바로 나옵니다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</si>
  <si>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희망 마진율</t>
  </si>
  <si>
    <r>
      <rPr>
        <sz val="9"/>
        <color rgb="FF595959"/>
        <rFont val="WenQuanYi Zen Hei"/>
        <family val="2"/>
      </rPr>
      <t xml:space="preserve">← 우리가 남기고 싶은 마진율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예시로 </t>
    </r>
    <r>
      <rPr>
        <sz val="9"/>
        <color rgb="FF595959"/>
        <rFont val="맑은 고딕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를 넣어 둠 — 바꾸세요</t>
    </r>
  </si>
  <si>
    <r>
      <rPr>
        <b val="true"/>
        <sz val="12"/>
        <color rgb="FF1F3864"/>
        <rFont val="WenQuanYi Zen Hei"/>
        <family val="2"/>
      </rPr>
      <t xml:space="preserve">① 지금 단가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현재 </t>
    </r>
    <r>
      <rPr>
        <b val="true"/>
        <sz val="12"/>
        <color rgb="FF1F3864"/>
        <rFont val="맑은 고딕"/>
        <family val="0"/>
        <charset val="1"/>
      </rPr>
      <t xml:space="preserve">DF)</t>
    </r>
    <r>
      <rPr>
        <b val="true"/>
        <sz val="12"/>
        <color rgb="FF1F3864"/>
        <rFont val="WenQuanYi Zen Hei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LS </t>
    </r>
    <r>
      <rPr>
        <b val="true"/>
        <sz val="12"/>
        <color rgb="FF1F3864"/>
        <rFont val="WenQuanYi Zen Hei"/>
        <family val="2"/>
      </rPr>
      <t xml:space="preserve">타겟 가격에 팔면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</si>
  <si>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</si>
  <si>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</si>
  <si>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</si>
  <si>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</si>
  <si>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</si>
  <si>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</si>
  <si>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</si>
  <si>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</si>
  <si>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</si>
  <si>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</si>
  <si>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</si>
  <si>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② 희망 마진율을 남기려면 </t>
    </r>
    <r>
      <rPr>
        <b val="true"/>
        <sz val="12"/>
        <color rgb="FF1F3864"/>
        <rFont val="맑은 고딕"/>
        <family val="0"/>
        <charset val="1"/>
      </rPr>
      <t xml:space="preserve">Schneider</t>
    </r>
    <r>
      <rPr>
        <b val="true"/>
        <sz val="12"/>
        <color rgb="FF1F3864"/>
        <rFont val="WenQuanYi Zen Hei"/>
        <family val="2"/>
      </rPr>
      <t xml:space="preserve">에 얼마나 더 받아야 하나</t>
    </r>
  </si>
  <si>
    <r>
      <rPr>
        <b val="true"/>
        <sz val="10"/>
        <color rgb="FFFFFFFF"/>
        <rFont val="WenQuanYi Zen Hei"/>
        <family val="2"/>
      </rPr>
      <t xml:space="preserve">허용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</si>
  <si>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더 깎아야 할 금액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</si>
  <si>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추가 할인율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매입가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</si>
  <si>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</si>
  <si>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</si>
  <si>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추가 특가
필요액</t>
  </si>
  <si>
    <r>
      <rPr>
        <sz val="8"/>
        <color rgb="FF7F7F7F"/>
        <rFont val="WenQuanYi Zen Hei"/>
        <family val="2"/>
      </rPr>
      <t xml:space="preserve">※ 허용 매입가 </t>
    </r>
    <r>
      <rPr>
        <sz val="8"/>
        <color rgb="FF7F7F7F"/>
        <rFont val="맑은 고딕"/>
        <family val="0"/>
        <charset val="1"/>
      </rPr>
      <t xml:space="preserve">= </t>
    </r>
    <r>
      <rPr>
        <sz val="8"/>
        <color rgb="FF7F7F7F"/>
        <rFont val="WenQuanYi Zen Hei"/>
        <family val="2"/>
      </rPr>
      <t xml:space="preserve">타겟 </t>
    </r>
    <r>
      <rPr>
        <sz val="8"/>
        <color rgb="FF7F7F7F"/>
        <rFont val="맑은 고딕"/>
        <family val="0"/>
        <charset val="1"/>
      </rPr>
      <t xml:space="preserve">× (1 − </t>
    </r>
    <r>
      <rPr>
        <sz val="8"/>
        <color rgb="FF7F7F7F"/>
        <rFont val="WenQuanYi Zen Hei"/>
        <family val="2"/>
      </rPr>
      <t xml:space="preserve">희망 마진율</t>
    </r>
    <r>
      <rPr>
        <sz val="8"/>
        <color rgb="FF7F7F7F"/>
        <rFont val="맑은 고딕"/>
        <family val="0"/>
        <charset val="1"/>
      </rPr>
      <t xml:space="preserve">).  </t>
    </r>
    <r>
      <rPr>
        <sz val="8"/>
        <color rgb="FF7F7F7F"/>
        <rFont val="WenQuanYi Zen Hei"/>
        <family val="2"/>
      </rPr>
      <t xml:space="preserve">실효 </t>
    </r>
    <r>
      <rPr>
        <sz val="8"/>
        <color rgb="FF7F7F7F"/>
        <rFont val="맑은 고딕"/>
        <family val="0"/>
        <charset val="1"/>
      </rPr>
      <t xml:space="preserve">DF = 1</t>
    </r>
    <r>
      <rPr>
        <sz val="8"/>
        <color rgb="FF7F7F7F"/>
        <rFont val="WenQuanYi Zen Hei"/>
        <family val="2"/>
      </rPr>
      <t xml:space="preserve">대 매입가 </t>
    </r>
    <r>
      <rPr>
        <sz val="8"/>
        <color rgb="FF7F7F7F"/>
        <rFont val="맑은 고딕"/>
        <family val="0"/>
        <charset val="1"/>
      </rPr>
      <t xml:space="preserve">÷ 1</t>
    </r>
    <r>
      <rPr>
        <sz val="8"/>
        <color rgb="FF7F7F7F"/>
        <rFont val="WenQuanYi Zen Hei"/>
        <family val="2"/>
      </rPr>
      <t xml:space="preserve">대 리스트가 합계 </t>
    </r>
    <r>
      <rPr>
        <sz val="8"/>
        <color rgb="FF7F7F7F"/>
        <rFont val="맑은 고딕"/>
        <family val="0"/>
        <charset val="1"/>
      </rPr>
      <t xml:space="preserve">(CPU 0.45 · </t>
    </r>
    <r>
      <rPr>
        <sz val="8"/>
        <color rgb="FF7F7F7F"/>
        <rFont val="WenQuanYi Zen Hei"/>
        <family val="2"/>
      </rPr>
      <t xml:space="preserve">모듈 </t>
    </r>
    <r>
      <rPr>
        <sz val="8"/>
        <color rgb="FF7F7F7F"/>
        <rFont val="맑은 고딕"/>
        <family val="0"/>
        <charset val="1"/>
      </rPr>
      <t xml:space="preserve">0.40</t>
    </r>
    <r>
      <rPr>
        <sz val="8"/>
        <color rgb="FF7F7F7F"/>
        <rFont val="WenQuanYi Zen Hei"/>
        <family val="2"/>
      </rPr>
      <t xml:space="preserve">이 섞인 평균 할인율</t>
    </r>
    <r>
      <rPr>
        <sz val="8"/>
        <color rgb="FF7F7F7F"/>
        <rFont val="맑은 고딕"/>
        <family val="0"/>
        <charset val="1"/>
      </rPr>
      <t xml:space="preserve">).  '</t>
    </r>
    <r>
      <rPr>
        <sz val="8"/>
        <color rgb="FF7F7F7F"/>
        <rFont val="WenQuanYi Zen Hei"/>
        <family val="2"/>
      </rPr>
      <t xml:space="preserve">필요 </t>
    </r>
    <r>
      <rPr>
        <sz val="8"/>
        <color rgb="FF7F7F7F"/>
        <rFont val="맑은 고딕"/>
        <family val="0"/>
        <charset val="1"/>
      </rPr>
      <t xml:space="preserve">DF'</t>
    </r>
    <r>
      <rPr>
        <sz val="8"/>
        <color rgb="FF7F7F7F"/>
        <rFont val="WenQuanYi Zen Hei"/>
        <family val="2"/>
      </rPr>
      <t xml:space="preserve">가 </t>
    </r>
    <r>
      <rPr>
        <sz val="8"/>
        <color rgb="FF7F7F7F"/>
        <rFont val="맑은 고딕"/>
        <family val="0"/>
        <charset val="1"/>
      </rPr>
      <t xml:space="preserve">Schneider</t>
    </r>
    <r>
      <rPr>
        <sz val="8"/>
        <color rgb="FF7F7F7F"/>
        <rFont val="WenQuanYi Zen Hei"/>
        <family val="2"/>
      </rPr>
      <t xml:space="preserve">에 요청할 수준입니다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</si>
  <si>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③ 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</si>
  <si>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</si>
  <si>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</si>
  <si>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</si>
  <si>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</si>
  <si>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</si>
  <si>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매입가는 현재 할인율 기준</t>
    </r>
    <r>
      <rPr>
        <sz val="9"/>
        <color rgb="FF7F7F7F"/>
        <rFont val="맑은 고딕"/>
        <family val="0"/>
        <charset val="1"/>
      </rPr>
      <t xml:space="preserve">. MCC CPU(TM241CE40T)</t>
    </r>
    <r>
      <rPr>
        <sz val="9"/>
        <color rgb="FF7F7F7F"/>
        <rFont val="WenQuanYi Zen Hei"/>
        <family val="2"/>
      </rPr>
      <t xml:space="preserve">는 견적에 없어 추정 단가 — 실단가를 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단가표</t>
    </r>
    <r>
      <rPr>
        <sz val="9"/>
        <color rgb="FF7F7F7F"/>
        <rFont val="맑은 고딕"/>
        <family val="0"/>
        <charset val="1"/>
      </rPr>
      <t xml:space="preserve">'</t>
    </r>
    <r>
      <rPr>
        <sz val="9"/>
        <color rgb="FF7F7F7F"/>
        <rFont val="WenQuanYi Zen Hei"/>
        <family val="2"/>
      </rPr>
      <t xml:space="preserve">에 넣으면 자동 반영됩니다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</si>
  <si>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맑은 고딕"/>
        <family val="0"/>
        <charset val="1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0"/>
        <charset val="1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</si>
  <si>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연간 </t>
    </r>
    <r>
      <rPr>
        <b val="true"/>
        <sz val="14"/>
        <color rgb="FF1F3864"/>
        <rFont val="맑은 고딕"/>
        <family val="0"/>
        <charset val="1"/>
      </rPr>
      <t xml:space="preserve">BOM — </t>
    </r>
    <r>
      <rPr>
        <b val="true"/>
        <sz val="14"/>
        <color rgb="FF1F3864"/>
        <rFont val="WenQuanYi Zen Hei"/>
        <family val="2"/>
      </rPr>
      <t xml:space="preserve">확정 구성 기준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모델별 연간 소요량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</si>
  <si>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MCC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맑은 고딕"/>
        <family val="0"/>
        <charset val="1"/>
      </rPr>
      <t xml:space="preserve">Techross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(A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</si>
  <si>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</si>
  <si>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</si>
  <si>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</si>
  <si>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</si>
  <si>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</si>
  <si>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</si>
  <si>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</si>
  <si>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WenQuanYi Zen Hei"/>
        <family val="2"/>
      </rPr>
      <t xml:space="preserve">사용 프로젝트 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대당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</si>
  <si>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TM241C24T</t>
  </si>
  <si>
    <t xml:space="preserve">TSU, ANU-S</t>
  </si>
  <si>
    <t xml:space="preserve">TM241C24R</t>
  </si>
  <si>
    <t xml:space="preserve">TM241C40T</t>
  </si>
  <si>
    <t xml:space="preserve">TM241C40R</t>
  </si>
  <si>
    <t xml:space="preserve">TM241CE40T</t>
  </si>
  <si>
    <r>
      <rPr>
        <sz val="9"/>
        <color rgb="FFC00000"/>
        <rFont val="맑은 고딕"/>
        <family val="0"/>
        <charset val="1"/>
      </rPr>
      <t xml:space="preserve">MCC  ※ </t>
    </r>
    <r>
      <rPr>
        <sz val="9"/>
        <color rgb="FFC00000"/>
        <rFont val="WenQuanYi Zen Hei"/>
        <family val="2"/>
      </rPr>
      <t xml:space="preserve">추정 단가</t>
    </r>
  </si>
  <si>
    <t xml:space="preserve">TM3DI16</t>
  </si>
  <si>
    <t xml:space="preserve">MCC×5</t>
  </si>
  <si>
    <t xml:space="preserve">TM3DQ16T</t>
  </si>
  <si>
    <t xml:space="preserve">MCC×2</t>
  </si>
  <si>
    <t xml:space="preserve">TM3DQ8T</t>
  </si>
  <si>
    <t xml:space="preserve">TM3AQ2</t>
  </si>
  <si>
    <t xml:space="preserve">TM3AQ4</t>
  </si>
  <si>
    <t xml:space="preserve">TM3XTRA1</t>
  </si>
  <si>
    <r>
      <rPr>
        <sz val="9"/>
        <color rgb="FFC00000"/>
        <rFont val="맑은 고딕"/>
        <family val="0"/>
        <charset val="1"/>
      </rPr>
      <t xml:space="preserve">MCC  ※ </t>
    </r>
    <r>
      <rPr>
        <sz val="9"/>
        <color rgb="FFC00000"/>
        <rFont val="WenQuanYi Zen Hei"/>
        <family val="2"/>
      </rPr>
      <t xml:space="preserve">가격 미정</t>
    </r>
  </si>
  <si>
    <t xml:space="preserve">TM3XREC1</t>
  </si>
  <si>
    <r>
      <rPr>
        <sz val="9"/>
        <color rgb="FF404040"/>
        <rFont val="맑은 고딕"/>
        <family val="0"/>
        <charset val="1"/>
      </rPr>
      <t xml:space="preserve">※ TM241CE40T</t>
    </r>
    <r>
      <rPr>
        <sz val="9"/>
        <color rgb="FF404040"/>
        <rFont val="WenQuanYi Zen Hei"/>
        <family val="2"/>
      </rPr>
      <t xml:space="preserve">는 추정 단가</t>
    </r>
    <r>
      <rPr>
        <sz val="9"/>
        <color rgb="FF404040"/>
        <rFont val="맑은 고딕"/>
        <family val="0"/>
        <charset val="1"/>
      </rPr>
      <t xml:space="preserve">, TM3XTRA1/XREC1</t>
    </r>
    <r>
      <rPr>
        <sz val="9"/>
        <color rgb="FF404040"/>
        <rFont val="WenQuanYi Zen Hei"/>
        <family val="2"/>
      </rPr>
      <t xml:space="preserve">은 가격 미정</t>
    </r>
    <r>
      <rPr>
        <sz val="9"/>
        <color rgb="FF404040"/>
        <rFont val="맑은 고딕"/>
        <family val="0"/>
        <charset val="1"/>
      </rPr>
      <t xml:space="preserve">(0</t>
    </r>
    <r>
      <rPr>
        <sz val="9"/>
        <color rgb="FF404040"/>
        <rFont val="WenQuanYi Zen Hei"/>
        <family val="2"/>
      </rPr>
      <t xml:space="preserve">원</t>
    </r>
    <r>
      <rPr>
        <sz val="9"/>
        <color rgb="FF404040"/>
        <rFont val="맑은 고딕"/>
        <family val="0"/>
        <charset val="1"/>
      </rPr>
      <t xml:space="preserve">). </t>
    </r>
    <r>
      <rPr>
        <sz val="9"/>
        <color rgb="FF404040"/>
        <rFont val="WenQuanYi Zen Hei"/>
        <family val="2"/>
      </rPr>
      <t xml:space="preserve">가격을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노란 칸에 넣으면 </t>
    </r>
    <r>
      <rPr>
        <sz val="9"/>
        <color rgb="FF404040"/>
        <rFont val="맑은 고딕"/>
        <family val="0"/>
        <charset val="1"/>
      </rPr>
      <t xml:space="preserve">BOM·MCC </t>
    </r>
    <r>
      <rPr>
        <sz val="9"/>
        <color rgb="FF404040"/>
        <rFont val="WenQuanYi Zen Hei"/>
        <family val="2"/>
      </rPr>
      <t xml:space="preserve">가격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마진이 모두 자동 반영됩니다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</si>
  <si>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AC220V </t>
    </r>
    <r>
      <rPr>
        <sz val="9"/>
        <color rgb="FF404040"/>
        <rFont val="WenQuanYi Zen Hei"/>
        <family val="2"/>
      </rPr>
      <t xml:space="preserve">납품 시에도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DC24V(TM241CE40T)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</si>
  <si>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</si>
  <si>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</si>
  <si>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</si>
  <si>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</si>
  <si>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</si>
  <si>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</si>
  <si>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</si>
  <si>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</si>
  <si>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</si>
  <si>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</si>
  <si>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</si>
  <si>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</si>
  <si>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</si>
  <si>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</si>
  <si>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</si>
  <si>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</si>
  <si>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</si>
  <si>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</si>
  <si>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</si>
  <si>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</si>
  <si>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</si>
  <si>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</si>
  <si>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</si>
  <si>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</si>
  <si>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</si>
  <si>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무관 </t>
    </r>
    <r>
      <rPr>
        <sz val="9"/>
        <color rgb="FF000000"/>
        <rFont val="맑은 고딕"/>
        <family val="0"/>
        <charset val="1"/>
      </rPr>
      <t xml:space="preserve">(Techross </t>
    </r>
    <r>
      <rPr>
        <sz val="9"/>
        <color rgb="FF000000"/>
        <rFont val="WenQuanYi Zen Hei"/>
        <family val="2"/>
      </rPr>
      <t xml:space="preserve">확인</t>
    </r>
    <r>
      <rPr>
        <sz val="9"/>
        <color rgb="FF000000"/>
        <rFont val="맑은 고딕"/>
        <family val="0"/>
        <charset val="1"/>
      </rPr>
      <t xml:space="preserve">, 2026-10-06)</t>
    </r>
  </si>
  <si>
    <r>
      <rPr>
        <sz val="9"/>
        <color rgb="FF000000"/>
        <rFont val="WenQuanYi Zen Hei"/>
        <family val="2"/>
      </rPr>
      <t xml:space="preserve">트랜지스터 출력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</si>
  <si>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RFQ </t>
    </r>
    <r>
      <rPr>
        <sz val="9"/>
        <color rgb="FF000000"/>
        <rFont val="WenQuanYi Zen Hei"/>
        <family val="2"/>
      </rPr>
      <t xml:space="preserve">문서의 </t>
    </r>
    <r>
      <rPr>
        <sz val="9"/>
        <color rgb="FF000000"/>
        <rFont val="맑은 고딕"/>
        <family val="0"/>
        <charset val="1"/>
      </rPr>
      <t xml:space="preserve">'Relay Type Only'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Techross</t>
    </r>
    <r>
      <rPr>
        <sz val="9"/>
        <color rgb="FF000000"/>
        <rFont val="WenQuanYi Zen Hei"/>
        <family val="2"/>
      </rPr>
      <t xml:space="preserve">가 무관하다고 확인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</si>
  <si>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</si>
  <si>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맑은 고딕"/>
        <family val="0"/>
        <charset val="1"/>
      </rPr>
      <t xml:space="preserve">Techross </t>
    </r>
    <r>
      <rPr>
        <sz val="9"/>
        <color rgb="FF000000"/>
        <rFont val="WenQuanYi Zen Hei"/>
        <family val="2"/>
      </rPr>
      <t xml:space="preserve">기준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54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</si>
  <si>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</si>
  <si>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</si>
  <si>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입력 </t>
    </r>
    <r>
      <rPr>
        <b val="true"/>
        <sz val="9"/>
        <color rgb="FFC00000"/>
        <rFont val="맑은 고딕"/>
        <family val="0"/>
        <charset val="1"/>
      </rPr>
      <t xml:space="preserve">38 · </t>
    </r>
    <r>
      <rPr>
        <b val="true"/>
        <sz val="9"/>
        <color rgb="FFC00000"/>
        <rFont val="WenQuanYi Zen Hei"/>
        <family val="2"/>
      </rPr>
      <t xml:space="preserve">출력 </t>
    </r>
    <r>
      <rPr>
        <b val="true"/>
        <sz val="9"/>
        <color rgb="FFC00000"/>
        <rFont val="맑은 고딕"/>
        <family val="0"/>
        <charset val="1"/>
      </rPr>
      <t xml:space="preserve">14 · AO 2 </t>
    </r>
    <r>
      <rPr>
        <b val="true"/>
        <sz val="9"/>
        <color rgb="FFC00000"/>
        <rFont val="WenQuanYi Zen Hei"/>
        <family val="2"/>
      </rPr>
      <t xml:space="preserve">부족 → 재구성 필요 </t>
    </r>
    <r>
      <rPr>
        <b val="true"/>
        <sz val="9"/>
        <color rgb="FFC00000"/>
        <rFont val="맑은 고딕"/>
        <family val="0"/>
        <charset val="1"/>
      </rPr>
      <t xml:space="preserve">(A</t>
    </r>
    <r>
      <rPr>
        <b val="true"/>
        <sz val="9"/>
        <color rgb="FFC00000"/>
        <rFont val="WenQuanYi Zen Hei"/>
        <family val="2"/>
      </rPr>
      <t xml:space="preserve">안</t>
    </r>
    <r>
      <rPr>
        <b val="true"/>
        <sz val="9"/>
        <color rgb="FFC00000"/>
        <rFont val="맑은 고딕"/>
        <family val="0"/>
        <charset val="1"/>
      </rPr>
      <t xml:space="preserve">: CE40T + TM3DI16×5 + TM3DQ16T×2 + TM3DQ8T + TM3AQ4).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</si>
  <si>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</si>
  <si>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</si>
  <si>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</si>
  <si>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</si>
  <si>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</si>
  <si>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점수를 맞추면 모듈 </t>
    </r>
    <r>
      <rPr>
        <sz val="9"/>
        <color rgb="FF000000"/>
        <rFont val="맑은 고딕"/>
        <family val="0"/>
        <charset val="1"/>
      </rPr>
      <t xml:space="preserve">9~10</t>
    </r>
    <r>
      <rPr>
        <sz val="9"/>
        <color rgb="FF000000"/>
        <rFont val="WenQuanYi Zen Hei"/>
        <family val="2"/>
      </rPr>
      <t xml:space="preserve">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</si>
  <si>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점수가 부족해서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</si>
  <si>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</si>
  <si>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직접 연결 한도 </t>
    </r>
    <r>
      <rPr>
        <b val="true"/>
        <sz val="9"/>
        <color rgb="FF7F6000"/>
        <rFont val="맑은 고딕"/>
        <family val="0"/>
        <charset val="1"/>
      </rPr>
      <t xml:space="preserve">7</t>
    </r>
    <r>
      <rPr>
        <b val="true"/>
        <sz val="9"/>
        <color rgb="FF7F6000"/>
        <rFont val="WenQuanYi Zen Hei"/>
        <family val="2"/>
      </rPr>
      <t xml:space="preserve">개 초과 → 버스 확장</t>
    </r>
    <r>
      <rPr>
        <b val="true"/>
        <sz val="9"/>
        <color rgb="FF7F6000"/>
        <rFont val="맑은 고딕"/>
        <family val="0"/>
        <charset val="1"/>
      </rPr>
      <t xml:space="preserve">(TM3XTRA1 + TM3XREC1) </t>
    </r>
    <r>
      <rPr>
        <b val="true"/>
        <sz val="9"/>
        <color rgb="FF7F6000"/>
        <rFont val="WenQuanYi Zen Hei"/>
        <family val="2"/>
      </rPr>
      <t xml:space="preserve">포함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전원 용량 검토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</si>
  <si>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</si>
  <si>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</si>
  <si>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</si>
  <si>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</si>
  <si>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</si>
  <si>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</si>
  <si>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</si>
  <si>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</si>
  <si>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</si>
  <si>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</si>
  <si>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</si>
  <si>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</si>
  <si>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</si>
  <si>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</si>
  <si>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</si>
  <si>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</si>
  <si>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</si>
  <si>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</si>
  <si>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</si>
  <si>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</si>
  <si>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</si>
  <si>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</si>
  <si>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</si>
  <si>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</si>
  <si>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</si>
  <si>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</si>
  <si>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</si>
  <si>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</si>
  <si>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</si>
  <si>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</si>
  <si>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</si>
  <si>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</si>
  <si>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</si>
  <si>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</si>
  <si>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</si>
  <si>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</si>
  <si>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</si>
  <si>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</si>
  <si>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</si>
  <si>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</si>
  <si>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</si>
  <si>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</si>
  <si>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</si>
  <si>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</si>
  <si>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</si>
  <si>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</si>
  <si>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</si>
  <si>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</si>
  <si>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</si>
  <si>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</si>
  <si>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</si>
  <si>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</si>
  <si>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수량</t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</si>
  <si>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</si>
  <si>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</si>
  <si>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</si>
  <si>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</si>
  <si>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</si>
  <si>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</si>
  <si>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</si>
  <si>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</si>
  <si>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</si>
  <si>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</si>
  <si>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</si>
  <si>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맑은 고딕"/>
        <family val="0"/>
        <charset val="1"/>
      </rPr>
      <t xml:space="preserve">Techross </t>
    </r>
    <r>
      <rPr>
        <sz val="10"/>
        <color rgb="FF000000"/>
        <rFont val="WenQuanYi Zen Hei"/>
        <family val="2"/>
      </rPr>
      <t xml:space="preserve">기준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</si>
  <si>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(A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</si>
  <si>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104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56 (TR)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9</t>
    </r>
    <r>
      <rPr>
        <sz val="9"/>
        <color rgb="FFC00000"/>
        <rFont val="WenQuanYi Zen Hei"/>
        <family val="2"/>
      </rPr>
      <t xml:space="preserve">개 → 버스 확장</t>
    </r>
    <r>
      <rPr>
        <sz val="9"/>
        <color rgb="FFC00000"/>
        <rFont val="맑은 고딕"/>
        <family val="0"/>
        <charset val="1"/>
      </rPr>
      <t xml:space="preserve">(TM3XTRA1/XREC1) </t>
    </r>
    <r>
      <rPr>
        <sz val="9"/>
        <color rgb="FFC00000"/>
        <rFont val="WenQuanYi Zen Hei"/>
        <family val="2"/>
      </rPr>
      <t xml:space="preserve">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미정</t>
    </r>
    <r>
      <rPr>
        <sz val="9"/>
        <color rgb="FFC00000"/>
        <rFont val="맑은 고딕"/>
        <family val="0"/>
        <charset val="1"/>
      </rPr>
      <t xml:space="preserve">.  TM241CE40T</t>
    </r>
    <r>
      <rPr>
        <sz val="9"/>
        <color rgb="FFC00000"/>
        <rFont val="WenQuanYi Zen Hei"/>
        <family val="2"/>
      </rPr>
      <t xml:space="preserve">는 추정 단가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</si>
  <si>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</si>
  <si>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</si>
  <si>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</si>
  <si>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</si>
  <si>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</si>
  <si>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</si>
  <si>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</si>
  <si>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</si>
  <si>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</si>
  <si>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</si>
  <si>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</si>
  <si>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</si>
  <si>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</si>
  <si>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r>
      <rPr>
        <sz val="8"/>
        <color rgb="FF7F7F7F"/>
        <rFont val="맑은 고딕"/>
        <family val="0"/>
        <charset val="1"/>
      </rPr>
      <t xml:space="preserve">MCC (</t>
    </r>
    <r>
      <rPr>
        <sz val="8"/>
        <color rgb="FF7F7F7F"/>
        <rFont val="WenQuanYi Zen Hei"/>
        <family val="2"/>
      </rPr>
      <t xml:space="preserve">추정 단가</t>
    </r>
    <r>
      <rPr>
        <sz val="8"/>
        <color rgb="FF7F7F7F"/>
        <rFont val="맑은 고딕"/>
        <family val="0"/>
        <charset val="1"/>
      </rPr>
      <t xml:space="preserve">)</t>
    </r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</si>
  <si>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</si>
  <si>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</si>
  <si>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</si>
  <si>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CE40T)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</si>
  <si>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CE40T)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</si>
  <si>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</si>
  <si>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</si>
  <si>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</si>
  <si>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</si>
  <si>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TM241CE24T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</si>
  <si>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</si>
  <si>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</si>
  <si>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</si>
  <si>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</si>
  <si>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</si>
  <si>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</si>
  <si>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</si>
  <si>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</si>
  <si>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</si>
  <si>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</si>
  <si>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</si>
  <si>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</si>
  <si>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</si>
  <si>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</si>
  <si>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</si>
  <si>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</si>
  <si>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</si>
  <si>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</si>
  <si>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</si>
  <si>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</si>
  <si>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</si>
  <si>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</si>
  <si>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</si>
  <si>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</si>
  <si>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</si>
  <si>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</si>
  <si>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b val="true"/>
        <sz val="10"/>
        <color rgb="FFFFFFFF"/>
        <rFont val="WenQuanYi Zen Hei"/>
        <family val="2"/>
      </rPr>
      <t xml:space="preserve">견적에 없는 품목 — 가격을 받으면 노란 칸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리스트가</t>
    </r>
    <r>
      <rPr>
        <b val="true"/>
        <sz val="10"/>
        <color rgb="FFFFFFFF"/>
        <rFont val="맑은 고딕"/>
        <family val="0"/>
        <charset val="1"/>
      </rPr>
      <t xml:space="preserve">)</t>
    </r>
    <r>
      <rPr>
        <b val="true"/>
        <sz val="10"/>
        <color rgb="FFFFFFFF"/>
        <rFont val="WenQuanYi Zen Hei"/>
        <family val="2"/>
      </rPr>
      <t xml:space="preserve">에 입력하세요</t>
    </r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</si>
  <si>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16) — MCC, </t>
    </r>
    <r>
      <rPr>
        <sz val="9"/>
        <color rgb="FF000000"/>
        <rFont val="WenQuanYi Zen Hei"/>
        <family val="2"/>
      </rPr>
      <t xml:space="preserve">견적에 없어 추정가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</si>
  <si>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송신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</si>
  <si>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수신 </t>
    </r>
    <r>
      <rPr>
        <sz val="9"/>
        <color rgb="FF000000"/>
        <rFont val="맑은 고딕"/>
        <family val="0"/>
        <charset val="1"/>
      </rPr>
      <t xml:space="preserve">(MCC)</t>
    </r>
  </si>
  <si>
    <r>
      <rPr>
        <sz val="8"/>
        <color rgb="FF7F7F7F"/>
        <rFont val="맑은 고딕"/>
        <family val="0"/>
        <charset val="1"/>
      </rPr>
      <t xml:space="preserve">※ TM241CE40T </t>
    </r>
    <r>
      <rPr>
        <sz val="8"/>
        <color rgb="FF7F7F7F"/>
        <rFont val="WenQuanYi Zen Hei"/>
        <family val="2"/>
      </rPr>
      <t xml:space="preserve">리스트가는 추정값</t>
    </r>
    <r>
      <rPr>
        <sz val="8"/>
        <color rgb="FF7F7F7F"/>
        <rFont val="맑은 고딕"/>
        <family val="0"/>
        <charset val="1"/>
      </rPr>
      <t xml:space="preserve">: TM241C40T </t>
    </r>
    <r>
      <rPr>
        <sz val="8"/>
        <color rgb="FF7F7F7F"/>
        <rFont val="WenQuanYi Zen Hei"/>
        <family val="2"/>
      </rPr>
      <t xml:space="preserve">정가 </t>
    </r>
    <r>
      <rPr>
        <sz val="8"/>
        <color rgb="FF7F7F7F"/>
        <rFont val="맑은 고딕"/>
        <family val="0"/>
        <charset val="1"/>
      </rPr>
      <t xml:space="preserve">928,000 + (CE24T − C24T </t>
    </r>
    <r>
      <rPr>
        <sz val="8"/>
        <color rgb="FF7F7F7F"/>
        <rFont val="WenQuanYi Zen Hei"/>
        <family val="2"/>
      </rPr>
      <t xml:space="preserve">정가 차이 </t>
    </r>
    <r>
      <rPr>
        <sz val="8"/>
        <color rgb="FF7F7F7F"/>
        <rFont val="맑은 고딕"/>
        <family val="0"/>
        <charset val="1"/>
      </rPr>
      <t xml:space="preserve">13,000). </t>
    </r>
    <r>
      <rPr>
        <sz val="8"/>
        <color rgb="FF7F7F7F"/>
        <rFont val="WenQuanYi Zen Hei"/>
        <family val="2"/>
      </rPr>
      <t xml:space="preserve">실단가를 받으면 리스트가</t>
    </r>
    <r>
      <rPr>
        <sz val="8"/>
        <color rgb="FF7F7F7F"/>
        <rFont val="맑은 고딕"/>
        <family val="0"/>
        <charset val="1"/>
      </rPr>
      <t xml:space="preserve">·</t>
    </r>
    <r>
      <rPr>
        <sz val="8"/>
        <color rgb="FF7F7F7F"/>
        <rFont val="WenQuanYi Zen Hei"/>
        <family val="2"/>
      </rPr>
      <t xml:space="preserve">할인율을 덮어쓰세요</t>
    </r>
    <r>
      <rPr>
        <sz val="8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</si>
</sst>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\+#,##0;\-#,##0;\-"/>
    <numFmt numFmtId="167" formatCode="0.0%"/>
    <numFmt numFmtId="168" formatCode="0.0%;\-0.0%;\-"/>
    <numFmt numFmtId="169" formatCode="0.000"/>
    <numFmt numFmtId="170" formatCode="0.00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맑은 고딕"/>
      <family val="0"/>
      <charset val="1"/>
    </font>
    <font>
      <b val="true"/>
      <sz val="13"/>
      <color rgb="FF1F3864"/>
      <name val="WenQuanYi Zen Hei"/>
      <family val="2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10"/>
      <color rgb="FF1F3864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1"/>
      <color rgb="FFC0000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C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404040"/>
      <name val="WenQuanYi Zen Hei"/>
      <family val="2"/>
    </font>
    <font>
      <b val="true"/>
      <sz val="9"/>
      <color rgb="FF7F6000"/>
      <name val="WenQuanYi Zen Hei"/>
      <family val="2"/>
    </font>
    <font>
      <b val="true"/>
      <sz val="9"/>
      <color rgb="FFC00000"/>
      <name val="맑은 고딕"/>
      <family val="0"/>
      <charset val="1"/>
    </font>
    <font>
      <b val="true"/>
      <sz val="14"/>
      <color rgb="FF375623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4"/>
      <color rgb="FF7F6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9"/>
      <color rgb="FF7F7F7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7F7F7F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5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구성'!F47</f>
        <v>1268650</v>
      </c>
      <c r="E9" s="11" t="s">
        <v>19</v>
      </c>
      <c r="F9" s="10" t="n">
        <f aca="false">C9*D9</f>
        <v>126865000</v>
      </c>
      <c r="G9" s="12" t="n">
        <f aca="false">F9</f>
        <v>126865000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357277500</v>
      </c>
      <c r="G10" s="16" t="n">
        <f aca="false">SUM(G6:G9)</f>
        <v>351877500</v>
      </c>
    </row>
    <row r="11" customFormat="false" ht="15" hidden="false" customHeight="false" outlineLevel="0" collapsed="false">
      <c r="A11" s="17" t="s">
        <v>21</v>
      </c>
    </row>
    <row r="13" customFormat="false" ht="17.15" hidden="false" customHeight="false" outlineLevel="0" collapsed="false">
      <c r="A13" s="18" t="s">
        <v>22</v>
      </c>
    </row>
    <row r="14" customFormat="false" ht="33.75" hidden="false" customHeight="true" outlineLevel="0" collapsed="false">
      <c r="A14" s="4" t="s">
        <v>23</v>
      </c>
      <c r="B14" s="4" t="s">
        <v>24</v>
      </c>
      <c r="C14" s="4" t="s">
        <v>25</v>
      </c>
      <c r="D14" s="5" t="s">
        <v>26</v>
      </c>
      <c r="E14" s="5" t="s">
        <v>27</v>
      </c>
      <c r="F14" s="4" t="s">
        <v>28</v>
      </c>
      <c r="G14" s="5" t="s">
        <v>29</v>
      </c>
    </row>
    <row r="15" customFormat="false" ht="45.75" hidden="false" customHeight="true" outlineLevel="0" collapsed="false">
      <c r="A15" s="19" t="s">
        <v>30</v>
      </c>
      <c r="B15" s="7" t="s">
        <v>31</v>
      </c>
      <c r="C15" s="20" t="s">
        <v>32</v>
      </c>
      <c r="D15" s="21" t="n">
        <f aca="false">VLOOKUP("TM241CE40T",단가표!$B$5:$G$26,6,FALSE())+2*VLOOKUP("TM3DI16",단가표!$B$5:$G$26,6,FALSE())+VLOOKUP("TM3DI8",단가표!$B$5:$G$26,6,FALSE())+VLOOKUP("TM3DQ16T",단가표!$B$5:$G$26,6,FALSE())+VLOOKUP("TM3DQ8T",단가표!$B$5:$G$26,6,FALSE())+VLOOKUP("TM3AQ2",단가표!$B$5:$G$26,6,FALSE())</f>
        <v>983050</v>
      </c>
      <c r="E15" s="22" t="s">
        <v>33</v>
      </c>
      <c r="F15" s="10" t="n">
        <f aca="false">D15*$C$9</f>
        <v>98305000</v>
      </c>
      <c r="G15" s="22" t="s">
        <v>33</v>
      </c>
    </row>
    <row r="16" customFormat="false" ht="45.75" hidden="false" customHeight="true" outlineLevel="0" collapsed="false">
      <c r="A16" s="19" t="s">
        <v>34</v>
      </c>
      <c r="B16" s="7" t="s">
        <v>35</v>
      </c>
      <c r="C16" s="23" t="s">
        <v>36</v>
      </c>
      <c r="D16" s="24" t="n">
        <f aca="false">'프로젝트별 구성'!F47</f>
        <v>1268650</v>
      </c>
      <c r="E16" s="25" t="n">
        <f aca="false">D16-$D$15</f>
        <v>285600</v>
      </c>
      <c r="F16" s="10" t="n">
        <f aca="false">D16*$C$9</f>
        <v>126865000</v>
      </c>
      <c r="G16" s="25" t="n">
        <f aca="false">F16-$F$15</f>
        <v>28560000</v>
      </c>
    </row>
    <row r="17" customFormat="false" ht="45.75" hidden="false" customHeight="true" outlineLevel="0" collapsed="false">
      <c r="A17" s="19" t="s">
        <v>37</v>
      </c>
      <c r="B17" s="7" t="s">
        <v>38</v>
      </c>
      <c r="C17" s="23" t="s">
        <v>36</v>
      </c>
      <c r="D17" s="24" t="n">
        <f aca="false">VLOOKUP("TM241CE24T",단가표!$B$5:$G$26,6,FALSE())+5*VLOOKUP("TM3DI16",단가표!$B$5:$G$26,6,FALSE())+VLOOKUP("TM3DI8",단가표!$B$5:$G$26,6,FALSE())+3*VLOOKUP("TM3DQ16T",단가표!$B$5:$G$26,6,FALSE())+VLOOKUP("TM3AQ4",단가표!$B$5:$G$26,6,FALSE())+VLOOKUP("TM3XTRA1",단가표!$B$5:$G$26,6,FALSE())+VLOOKUP("TM3XREC1",단가표!$B$5:$G$26,6,FALSE())</f>
        <v>1348300</v>
      </c>
      <c r="E17" s="25" t="n">
        <f aca="false">D17-$D$15</f>
        <v>365250</v>
      </c>
      <c r="F17" s="10" t="n">
        <f aca="false">D17*$C$9</f>
        <v>134830000</v>
      </c>
      <c r="G17" s="25" t="n">
        <f aca="false">F17-$F$15</f>
        <v>36525000</v>
      </c>
    </row>
    <row r="18" customFormat="false" ht="19.5" hidden="false" customHeight="true" outlineLevel="0" collapsed="false">
      <c r="A18" s="26" t="str">
        <f aca="false">IF(D16&lt;=D17,"→ 현재 단가로는 A안(CE40T)이 1대 "&amp;TEXT(D17-D16,"#,##0")&amp;"원 저렴 — 단, CE40T 단가는 추정값","→ 현재 단가로는 B안(CE24T)이 1대 "&amp;TEXT(D16-D17,"#,##0")&amp;"원 저렴 — 프로젝트별 구성의 MCC를 B안으로 바꾸는 것 검토")</f>
        <v>→ 현재 단가로는 A안(CE40T)이 1대 79,650원 저렴 — 단, CE40T 단가는 추정값</v>
      </c>
      <c r="B18" s="26"/>
      <c r="C18" s="26"/>
      <c r="D18" s="26"/>
      <c r="E18" s="26"/>
      <c r="F18" s="26"/>
      <c r="G18" s="26"/>
    </row>
    <row r="19" customFormat="false" ht="19.5" hidden="false" customHeight="true" outlineLevel="0" collapsed="false">
      <c r="A19" s="27" t="str">
        <f aca="false">IF(VLOOKUP("TM3XTRA1",단가표!$B$5:$G$26,6,FALSE())+VLOOKUP("TM3XREC1",단가표!$B$5:$G$26,6,FALSE())=0,"⚠ 버스 확장 부품(TM3XTRA1/XREC1) 가격 미입력 → A·B안 가격에 0원으로 들어가 있음.  TM241CE40T도 추정 단가.  가격 받으면 단가표 노란 칸에 입력","버스 확장 부품 반영됨 (1대 "&amp;TEXT(VLOOKUP("TM3XTRA1",단가표!$B$5:$G$26,6,FALSE())+VLOOKUP("TM3XREC1",단가표!$B$5:$G$26,6,FALSE()),"#,##0")&amp;"원).  TM241CE40T 단가 확인 필요")</f>
        <v>⚠ 버스 확장 부품(TM3XTRA1/XREC1) 가격 미입력 → A·B안 가격에 0원으로 들어가 있음.  TM241CE40T도 추정 단가.  가격 받으면 단가표 노란 칸에 입력</v>
      </c>
      <c r="B19" s="27"/>
      <c r="C19" s="27"/>
      <c r="D19" s="27"/>
      <c r="E19" s="27"/>
      <c r="F19" s="27"/>
      <c r="G19" s="27"/>
    </row>
    <row r="21" customFormat="false" ht="16.15" hidden="false" customHeight="false" outlineLevel="0" collapsed="false">
      <c r="A21" s="28" t="s">
        <v>39</v>
      </c>
    </row>
    <row r="22" customFormat="false" ht="31.5" hidden="false" customHeight="true" outlineLevel="0" collapsed="false">
      <c r="A22" s="29" t="str">
        <f aca="false">"① 연간 구매금액: DC24V 기준 약 "&amp;TEXT(F10/100000000,"0.00")&amp;"억 원,  AC220V 기준 약 "&amp;TEXT(G10/100000000,"0.00")&amp;"억 원"</f>
        <v>① 연간 구매금액: DC24V 기준 약 3.57억 원,  AC220V 기준 약 3.52억 원</v>
      </c>
      <c r="B22" s="29"/>
      <c r="C22" s="29"/>
      <c r="D22" s="29"/>
      <c r="E22" s="29"/>
      <c r="F22" s="29"/>
      <c r="G22" s="29"/>
    </row>
    <row r="23" customFormat="false" ht="19.5" hidden="false" customHeight="true" outlineLevel="0" collapsed="false">
      <c r="A23" s="30" t="s">
        <v>40</v>
      </c>
      <c r="B23" s="30"/>
      <c r="C23" s="30"/>
      <c r="D23" s="30"/>
      <c r="E23" s="30"/>
      <c r="F23" s="30"/>
      <c r="G23" s="30"/>
    </row>
    <row r="24" customFormat="false" ht="31.5" hidden="false" customHeight="true" outlineLevel="0" collapsed="false">
      <c r="A24" s="31" t="str">
        <f aca="false">"③ MCC: Schneider 원안은 Techross 기준보다 입력 38 · 출력 14 · AO 2 부족 → Techross 기준으로 재구성 (출력은 TR 그대로). 1대 "&amp;TEXT(D16,"#,##0")&amp;"원, 원안보다 연 "&amp;TEXT(G16,"#,##0")&amp;"원 증가"</f>
        <v>③ MCC: Schneider 원안은 Techross 기준보다 입력 38 · 출력 14 · AO 2 부족 → Techross 기준으로 재구성 (출력은 TR 그대로). 1대 1,268,650원, 원안보다 연 28,560,000원 증가</v>
      </c>
      <c r="B24" s="31"/>
      <c r="C24" s="31"/>
      <c r="D24" s="31"/>
      <c r="E24" s="31"/>
      <c r="F24" s="31"/>
      <c r="G24" s="31"/>
    </row>
    <row r="25" customFormat="false" ht="31.5" hidden="false" customHeight="true" outlineLevel="0" collapsed="false">
      <c r="A25" s="31" t="s">
        <v>41</v>
      </c>
      <c r="B25" s="31"/>
      <c r="C25" s="31"/>
      <c r="D25" s="31"/>
      <c r="E25" s="31"/>
      <c r="F25" s="31"/>
      <c r="G25" s="31"/>
    </row>
    <row r="26" customFormat="false" ht="31.5" hidden="false" customHeight="true" outlineLevel="0" collapsed="false">
      <c r="A26" s="32" t="s">
        <v>42</v>
      </c>
      <c r="B26" s="32"/>
      <c r="C26" s="32"/>
      <c r="D26" s="32"/>
      <c r="E26" s="32"/>
      <c r="F26" s="32"/>
      <c r="G26" s="32"/>
    </row>
    <row r="27" customFormat="false" ht="31.5" hidden="false" customHeight="true" outlineLevel="0" collapsed="false">
      <c r="A27" s="32" t="str">
        <f aca="false">"⑥ CPU 할인율을 "&amp;TEXT('CPU 할인 효과'!B3,"0.00")&amp;" → "&amp;TEXT('CPU 할인 효과'!B4,"0.00")&amp;"으로 받으면 연간 약 "&amp;TEXT('CPU 할인 효과'!H13/10000,"#,##0")&amp;"만 원 절감 (DC24V 기준)"</f>
        <v>⑥ CPU 할인율을 0.45 → 0.40으로 받으면 연간 약 2,954만 원 절감 (DC24V 기준)</v>
      </c>
      <c r="B27" s="32"/>
      <c r="C27" s="32"/>
      <c r="D27" s="32"/>
      <c r="E27" s="32"/>
      <c r="F27" s="32"/>
      <c r="G27" s="32"/>
    </row>
    <row r="28" customFormat="false" ht="19.5" hidden="false" customHeight="true" outlineLevel="0" collapsed="false">
      <c r="A28" s="33" t="s">
        <v>43</v>
      </c>
      <c r="B28" s="33"/>
      <c r="C28" s="33"/>
      <c r="D28" s="33"/>
      <c r="E28" s="33"/>
      <c r="F28" s="33"/>
      <c r="G28" s="33"/>
    </row>
    <row r="29" customFormat="false" ht="21.75" hidden="false" customHeight="true" outlineLevel="0" collapsed="false">
      <c r="A29" s="26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필요","LS 타겟 프라이스를 '마진 계산' 시트에 넣으면 여기에 표시됩니다")</f>
        <v>⑧ LS 타겟 기준 연간 마진 (DC24V): LS 타겟 프라이스를 '마진 계산' 시트에 넣으면 여기에 표시됩니다</v>
      </c>
      <c r="B29" s="26"/>
      <c r="C29" s="26"/>
      <c r="D29" s="26"/>
      <c r="E29" s="26"/>
      <c r="F29" s="26"/>
      <c r="G29" s="26"/>
    </row>
    <row r="30" customFormat="false" ht="21.75" hidden="false" customHeight="true" outlineLevel="0" collapsed="false">
      <c r="A30" s="34" t="str">
        <f aca="false">"⑨ Schneider 제안 검토: 반드시 수정 "&amp;COUNTIF('Schneider 제안 검토'!F7:F24,"✕")&amp;"건, 보완 "&amp;COUNTIF('Schneider 제안 검토'!F7:F24,"△")&amp;"건  → 'Schneider 제안 검토' 시트"</f>
        <v>⑨ Schneider 제안 검토: 반드시 수정 3건, 보완 6건  → 'Schneider 제안 검토' 시트</v>
      </c>
      <c r="B30" s="34"/>
      <c r="C30" s="34"/>
      <c r="D30" s="34"/>
      <c r="E30" s="34"/>
      <c r="F30" s="34"/>
      <c r="G30" s="34"/>
    </row>
  </sheetData>
  <mergeCells count="12">
    <mergeCell ref="A10:B10"/>
    <mergeCell ref="A18:G18"/>
    <mergeCell ref="A19:G19"/>
    <mergeCell ref="A22:G22"/>
    <mergeCell ref="A23:G23"/>
    <mergeCell ref="A24:G24"/>
    <mergeCell ref="A25:G25"/>
    <mergeCell ref="A26:G26"/>
    <mergeCell ref="A27:G27"/>
    <mergeCell ref="A28:G28"/>
    <mergeCell ref="A29:G29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24"/>
  </cols>
  <sheetData>
    <row r="1" customFormat="false" ht="19.4" hidden="false" customHeight="false" outlineLevel="0" collapsed="false">
      <c r="A1" s="35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36" t="s">
        <v>46</v>
      </c>
      <c r="B4" s="37" t="n">
        <v>0.1</v>
      </c>
      <c r="C4" s="2" t="s">
        <v>47</v>
      </c>
    </row>
    <row r="6" customFormat="false" ht="16.4" hidden="false" customHeight="false" outlineLevel="0" collapsed="false">
      <c r="A6" s="38" t="s">
        <v>48</v>
      </c>
    </row>
    <row r="7" customFormat="false" ht="36" hidden="false" customHeight="true" outlineLevel="0" collapsed="false">
      <c r="A7" s="4" t="s">
        <v>4</v>
      </c>
      <c r="B7" s="4" t="s">
        <v>49</v>
      </c>
      <c r="C7" s="4" t="s">
        <v>50</v>
      </c>
      <c r="D7" s="5" t="s">
        <v>51</v>
      </c>
      <c r="E7" s="4" t="s">
        <v>52</v>
      </c>
      <c r="F7" s="4" t="s">
        <v>53</v>
      </c>
      <c r="G7" s="4" t="s">
        <v>54</v>
      </c>
      <c r="H7" s="4" t="s">
        <v>55</v>
      </c>
      <c r="I7" s="4" t="s">
        <v>56</v>
      </c>
    </row>
    <row r="8" customFormat="false" ht="21.75" hidden="false" customHeight="true" outlineLevel="0" collapsed="false">
      <c r="A8" s="6" t="s">
        <v>11</v>
      </c>
      <c r="B8" s="22" t="s">
        <v>57</v>
      </c>
      <c r="C8" s="39" t="n">
        <f aca="false">요약!C6</f>
        <v>200</v>
      </c>
      <c r="D8" s="40"/>
      <c r="E8" s="9" t="n">
        <f aca="false">'프로젝트별 구성'!F9</f>
        <v>392850</v>
      </c>
      <c r="F8" s="41" t="str">
        <f aca="false">IF(D8="","",D8-E8)</f>
        <v/>
      </c>
      <c r="G8" s="42" t="str">
        <f aca="false">IF(OR(D8="",D8=0),"",F8/D8)</f>
        <v/>
      </c>
      <c r="H8" s="9" t="str">
        <f aca="false">IF(D8="","",C8*D8)</f>
        <v/>
      </c>
      <c r="I8" s="41" t="str">
        <f aca="false">IF(D8="","",C8*F8)</f>
        <v/>
      </c>
      <c r="J8" s="43" t="s">
        <v>58</v>
      </c>
    </row>
    <row r="9" customFormat="false" ht="21.75" hidden="false" customHeight="true" outlineLevel="0" collapsed="false">
      <c r="A9" s="6" t="s">
        <v>11</v>
      </c>
      <c r="B9" s="22" t="s">
        <v>59</v>
      </c>
      <c r="C9" s="39" t="n">
        <f aca="false">요약!C6</f>
        <v>200</v>
      </c>
      <c r="D9" s="40"/>
      <c r="E9" s="9" t="n">
        <f aca="false">'프로젝트별 구성'!F11</f>
        <v>384750</v>
      </c>
      <c r="F9" s="41" t="str">
        <f aca="false">IF(D9="","",D9-E9)</f>
        <v/>
      </c>
      <c r="G9" s="42" t="str">
        <f aca="false">IF(OR(D9="",D9=0),"",F9/D9)</f>
        <v/>
      </c>
      <c r="H9" s="9" t="str">
        <f aca="false">IF(D9="","",C9*D9)</f>
        <v/>
      </c>
      <c r="I9" s="41" t="str">
        <f aca="false">IF(D9="","",C9*F9)</f>
        <v/>
      </c>
    </row>
    <row r="10" customFormat="false" ht="21.75" hidden="false" customHeight="true" outlineLevel="0" collapsed="false">
      <c r="A10" s="6" t="s">
        <v>13</v>
      </c>
      <c r="B10" s="22" t="s">
        <v>57</v>
      </c>
      <c r="C10" s="39" t="n">
        <f aca="false">요약!C7</f>
        <v>300</v>
      </c>
      <c r="D10" s="40"/>
      <c r="E10" s="9" t="n">
        <f aca="false">'프로젝트별 구성'!F19</f>
        <v>417600</v>
      </c>
      <c r="F10" s="41" t="str">
        <f aca="false">IF(D10="","",D10-E10)</f>
        <v/>
      </c>
      <c r="G10" s="42" t="str">
        <f aca="false">IF(OR(D10="",D10=0),"",F10/D10)</f>
        <v/>
      </c>
      <c r="H10" s="9" t="str">
        <f aca="false">IF(D10="","",C10*D10)</f>
        <v/>
      </c>
      <c r="I10" s="41" t="str">
        <f aca="false">IF(D10="","",C10*F10)</f>
        <v/>
      </c>
    </row>
    <row r="11" customFormat="false" ht="21.75" hidden="false" customHeight="true" outlineLevel="0" collapsed="false">
      <c r="A11" s="6" t="s">
        <v>13</v>
      </c>
      <c r="B11" s="22" t="s">
        <v>59</v>
      </c>
      <c r="C11" s="39" t="n">
        <f aca="false">요약!C7</f>
        <v>300</v>
      </c>
      <c r="D11" s="40"/>
      <c r="E11" s="9" t="n">
        <f aca="false">'프로젝트별 구성'!F21</f>
        <v>406350</v>
      </c>
      <c r="F11" s="41" t="str">
        <f aca="false">IF(D11="","",D11-E11)</f>
        <v/>
      </c>
      <c r="G11" s="42" t="str">
        <f aca="false">IF(OR(D11="",D11=0),"",F11/D11)</f>
        <v/>
      </c>
      <c r="H11" s="9" t="str">
        <f aca="false">IF(D11="","",C11*D11)</f>
        <v/>
      </c>
      <c r="I11" s="41" t="str">
        <f aca="false">IF(D11="","",C11*F11)</f>
        <v/>
      </c>
    </row>
    <row r="12" customFormat="false" ht="21.75" hidden="false" customHeight="true" outlineLevel="0" collapsed="false">
      <c r="A12" s="6" t="s">
        <v>15</v>
      </c>
      <c r="B12" s="22" t="s">
        <v>57</v>
      </c>
      <c r="C12" s="39" t="n">
        <f aca="false">요약!C8</f>
        <v>50</v>
      </c>
      <c r="D12" s="40"/>
      <c r="E12" s="9" t="n">
        <f aca="false">'프로젝트별 구성'!F30</f>
        <v>531250</v>
      </c>
      <c r="F12" s="41" t="str">
        <f aca="false">IF(D12="","",D12-E12)</f>
        <v/>
      </c>
      <c r="G12" s="42" t="str">
        <f aca="false">IF(OR(D12="",D12=0),"",F12/D12)</f>
        <v/>
      </c>
      <c r="H12" s="9" t="str">
        <f aca="false">IF(D12="","",C12*D12)</f>
        <v/>
      </c>
      <c r="I12" s="41" t="str">
        <f aca="false">IF(D12="","",C12*F12)</f>
        <v/>
      </c>
    </row>
    <row r="13" customFormat="false" ht="21.75" hidden="false" customHeight="true" outlineLevel="0" collapsed="false">
      <c r="A13" s="6" t="s">
        <v>15</v>
      </c>
      <c r="B13" s="22" t="s">
        <v>59</v>
      </c>
      <c r="C13" s="39" t="n">
        <f aca="false">요약!C8</f>
        <v>50</v>
      </c>
      <c r="D13" s="40"/>
      <c r="E13" s="9" t="n">
        <f aca="false">'프로젝트별 구성'!F33</f>
        <v>523150</v>
      </c>
      <c r="F13" s="41" t="str">
        <f aca="false">IF(D13="","",D13-E13)</f>
        <v/>
      </c>
      <c r="G13" s="42" t="str">
        <f aca="false">IF(OR(D13="",D13=0),"",F13/D13)</f>
        <v/>
      </c>
      <c r="H13" s="9" t="str">
        <f aca="false">IF(D13="","",C13*D13)</f>
        <v/>
      </c>
      <c r="I13" s="41" t="str">
        <f aca="false">IF(D13="","",C13*F13)</f>
        <v/>
      </c>
    </row>
    <row r="14" customFormat="false" ht="21.75" hidden="false" customHeight="true" outlineLevel="0" collapsed="false">
      <c r="A14" s="6" t="s">
        <v>17</v>
      </c>
      <c r="B14" s="22" t="s">
        <v>57</v>
      </c>
      <c r="C14" s="39" t="n">
        <f aca="false">요약!C9</f>
        <v>100</v>
      </c>
      <c r="D14" s="40"/>
      <c r="E14" s="9" t="n">
        <f aca="false">'프로젝트별 구성'!F47</f>
        <v>1268650</v>
      </c>
      <c r="F14" s="41" t="str">
        <f aca="false">IF(D14="","",D14-E14)</f>
        <v/>
      </c>
      <c r="G14" s="42" t="str">
        <f aca="false">IF(OR(D14="",D14=0),"",F14/D14)</f>
        <v/>
      </c>
      <c r="H14" s="9" t="str">
        <f aca="false">IF(D14="","",C14*D14)</f>
        <v/>
      </c>
      <c r="I14" s="41" t="str">
        <f aca="false">IF(D14="","",C14*F14)</f>
        <v/>
      </c>
    </row>
    <row r="17" customFormat="false" ht="16.4" hidden="false" customHeight="false" outlineLevel="0" collapsed="false">
      <c r="A17" s="38" t="s">
        <v>60</v>
      </c>
    </row>
    <row r="18" customFormat="false" ht="39.75" hidden="false" customHeight="true" outlineLevel="0" collapsed="false">
      <c r="A18" s="4" t="s">
        <v>4</v>
      </c>
      <c r="B18" s="4" t="s">
        <v>49</v>
      </c>
      <c r="C18" s="4" t="s">
        <v>61</v>
      </c>
      <c r="D18" s="4" t="s">
        <v>52</v>
      </c>
      <c r="E18" s="4" t="s">
        <v>62</v>
      </c>
      <c r="F18" s="4" t="s">
        <v>63</v>
      </c>
      <c r="G18" s="4" t="s">
        <v>64</v>
      </c>
      <c r="H18" s="4" t="s">
        <v>65</v>
      </c>
      <c r="I18" s="4" t="s">
        <v>66</v>
      </c>
      <c r="J18" s="4" t="s">
        <v>25</v>
      </c>
    </row>
    <row r="19" customFormat="false" ht="21.75" hidden="false" customHeight="true" outlineLevel="0" collapsed="false">
      <c r="A19" s="6" t="s">
        <v>11</v>
      </c>
      <c r="B19" s="22" t="s">
        <v>57</v>
      </c>
      <c r="C19" s="9" t="str">
        <f aca="false">IF(D8="","",ROUND(D8*(1-$B$4),0))</f>
        <v/>
      </c>
      <c r="D19" s="9" t="n">
        <f aca="false">E8</f>
        <v>392850</v>
      </c>
      <c r="E19" s="44" t="str">
        <f aca="false">IF(C19="","",MAX(D19-C19,0))</f>
        <v/>
      </c>
      <c r="F19" s="45" t="str">
        <f aca="false">IF(C19="","",E19/D19)</f>
        <v/>
      </c>
      <c r="G19" s="46" t="n">
        <f aca="false">IFERROR(D19/'프로젝트별 구성'!G9,"")</f>
        <v>0.45</v>
      </c>
      <c r="H19" s="47" t="str">
        <f aca="false">IF(C19="","",IFERROR(MIN(C19,D19)/'프로젝트별 구성'!G9,""))</f>
        <v/>
      </c>
      <c r="I19" s="10" t="str">
        <f aca="false">IF(C19="","",E19*C8)</f>
        <v/>
      </c>
      <c r="J19" s="48" t="str">
        <f aca="false">IF(C19="","타겟 입력 전",IF(E19=0,"OK — 지금 단가로 희망 마진 확보","추가 특가 필요"))</f>
        <v>타겟 입력 전</v>
      </c>
    </row>
    <row r="20" customFormat="false" ht="21.75" hidden="false" customHeight="true" outlineLevel="0" collapsed="false">
      <c r="A20" s="6" t="s">
        <v>11</v>
      </c>
      <c r="B20" s="22" t="s">
        <v>59</v>
      </c>
      <c r="C20" s="9" t="str">
        <f aca="false">IF(D9="","",ROUND(D9*(1-$B$4),0))</f>
        <v/>
      </c>
      <c r="D20" s="9" t="n">
        <f aca="false">E9</f>
        <v>384750</v>
      </c>
      <c r="E20" s="44" t="str">
        <f aca="false">IF(C20="","",MAX(D20-C20,0))</f>
        <v/>
      </c>
      <c r="F20" s="45" t="str">
        <f aca="false">IF(C20="","",E20/D20)</f>
        <v/>
      </c>
      <c r="G20" s="46" t="n">
        <f aca="false">IFERROR(D20/'프로젝트별 구성'!G11,"")</f>
        <v>0.45</v>
      </c>
      <c r="H20" s="47" t="str">
        <f aca="false">IF(C20="","",IFERROR(MIN(C20,D20)/'프로젝트별 구성'!G11,""))</f>
        <v/>
      </c>
      <c r="I20" s="10" t="str">
        <f aca="false">IF(C20="","",E20*C9)</f>
        <v/>
      </c>
      <c r="J20" s="48" t="str">
        <f aca="false">IF(C20="","타겟 입력 전",IF(E20=0,"OK — 지금 단가로 희망 마진 확보","추가 특가 필요"))</f>
        <v>타겟 입력 전</v>
      </c>
    </row>
    <row r="21" customFormat="false" ht="21.75" hidden="false" customHeight="true" outlineLevel="0" collapsed="false">
      <c r="A21" s="6" t="s">
        <v>13</v>
      </c>
      <c r="B21" s="22" t="s">
        <v>57</v>
      </c>
      <c r="C21" s="9" t="str">
        <f aca="false">IF(D10="","",ROUND(D10*(1-$B$4),0))</f>
        <v/>
      </c>
      <c r="D21" s="9" t="n">
        <f aca="false">E10</f>
        <v>417600</v>
      </c>
      <c r="E21" s="44" t="str">
        <f aca="false">IF(C21="","",MAX(D21-C21,0))</f>
        <v/>
      </c>
      <c r="F21" s="45" t="str">
        <f aca="false">IF(C21="","",E21/D21)</f>
        <v/>
      </c>
      <c r="G21" s="46" t="n">
        <f aca="false">IFERROR(D21/'프로젝트별 구성'!G19,"")</f>
        <v>0.45</v>
      </c>
      <c r="H21" s="47" t="str">
        <f aca="false">IF(C21="","",IFERROR(MIN(C21,D21)/'프로젝트별 구성'!G19,""))</f>
        <v/>
      </c>
      <c r="I21" s="10" t="str">
        <f aca="false">IF(C21="","",E21*C10)</f>
        <v/>
      </c>
      <c r="J21" s="48" t="str">
        <f aca="false">IF(C21="","타겟 입력 전",IF(E21=0,"OK — 지금 단가로 희망 마진 확보","추가 특가 필요"))</f>
        <v>타겟 입력 전</v>
      </c>
    </row>
    <row r="22" customFormat="false" ht="21.75" hidden="false" customHeight="true" outlineLevel="0" collapsed="false">
      <c r="A22" s="6" t="s">
        <v>13</v>
      </c>
      <c r="B22" s="22" t="s">
        <v>59</v>
      </c>
      <c r="C22" s="9" t="str">
        <f aca="false">IF(D11="","",ROUND(D11*(1-$B$4),0))</f>
        <v/>
      </c>
      <c r="D22" s="9" t="n">
        <f aca="false">E11</f>
        <v>406350</v>
      </c>
      <c r="E22" s="44" t="str">
        <f aca="false">IF(C22="","",MAX(D22-C22,0))</f>
        <v/>
      </c>
      <c r="F22" s="45" t="str">
        <f aca="false">IF(C22="","",E22/D22)</f>
        <v/>
      </c>
      <c r="G22" s="46" t="n">
        <f aca="false">IFERROR(D22/'프로젝트별 구성'!G21,"")</f>
        <v>0.45</v>
      </c>
      <c r="H22" s="47" t="str">
        <f aca="false">IF(C22="","",IFERROR(MIN(C22,D22)/'프로젝트별 구성'!G21,""))</f>
        <v/>
      </c>
      <c r="I22" s="10" t="str">
        <f aca="false">IF(C22="","",E22*C11)</f>
        <v/>
      </c>
      <c r="J22" s="48" t="str">
        <f aca="false">IF(C22="","타겟 입력 전",IF(E22=0,"OK — 지금 단가로 희망 마진 확보","추가 특가 필요"))</f>
        <v>타겟 입력 전</v>
      </c>
    </row>
    <row r="23" customFormat="false" ht="21.75" hidden="false" customHeight="true" outlineLevel="0" collapsed="false">
      <c r="A23" s="6" t="s">
        <v>15</v>
      </c>
      <c r="B23" s="22" t="s">
        <v>57</v>
      </c>
      <c r="C23" s="9" t="str">
        <f aca="false">IF(D12="","",ROUND(D12*(1-$B$4),0))</f>
        <v/>
      </c>
      <c r="D23" s="9" t="n">
        <f aca="false">E12</f>
        <v>531250</v>
      </c>
      <c r="E23" s="44" t="str">
        <f aca="false">IF(C23="","",MAX(D23-C23,0))</f>
        <v/>
      </c>
      <c r="F23" s="45" t="str">
        <f aca="false">IF(C23="","",E23/D23)</f>
        <v/>
      </c>
      <c r="G23" s="46" t="n">
        <f aca="false">IFERROR(D23/'프로젝트별 구성'!G30,"")</f>
        <v>0.435808039376538</v>
      </c>
      <c r="H23" s="47" t="str">
        <f aca="false">IF(C23="","",IFERROR(MIN(C23,D23)/'프로젝트별 구성'!G30,""))</f>
        <v/>
      </c>
      <c r="I23" s="10" t="str">
        <f aca="false">IF(C23="","",E23*C12)</f>
        <v/>
      </c>
      <c r="J23" s="48" t="str">
        <f aca="false">IF(C23="","타겟 입력 전",IF(E23=0,"OK — 지금 단가로 희망 마진 확보","추가 특가 필요"))</f>
        <v>타겟 입력 전</v>
      </c>
    </row>
    <row r="24" customFormat="false" ht="21.75" hidden="false" customHeight="true" outlineLevel="0" collapsed="false">
      <c r="A24" s="6" t="s">
        <v>15</v>
      </c>
      <c r="B24" s="22" t="s">
        <v>59</v>
      </c>
      <c r="C24" s="9" t="str">
        <f aca="false">IF(D13="","",ROUND(D13*(1-$B$4),0))</f>
        <v/>
      </c>
      <c r="D24" s="9" t="n">
        <f aca="false">E13</f>
        <v>523150</v>
      </c>
      <c r="E24" s="44" t="str">
        <f aca="false">IF(C24="","",MAX(D24-C24,0))</f>
        <v/>
      </c>
      <c r="F24" s="45" t="str">
        <f aca="false">IF(C24="","",E24/D24)</f>
        <v/>
      </c>
      <c r="G24" s="46" t="n">
        <f aca="false">IFERROR(D24/'프로젝트별 구성'!G33,"")</f>
        <v>0.435595337218984</v>
      </c>
      <c r="H24" s="47" t="str">
        <f aca="false">IF(C24="","",IFERROR(MIN(C24,D24)/'프로젝트별 구성'!G33,""))</f>
        <v/>
      </c>
      <c r="I24" s="10" t="str">
        <f aca="false">IF(C24="","",E24*C13)</f>
        <v/>
      </c>
      <c r="J24" s="48" t="str">
        <f aca="false">IF(C24="","타겟 입력 전",IF(E24=0,"OK — 지금 단가로 희망 마진 확보","추가 특가 필요"))</f>
        <v>타겟 입력 전</v>
      </c>
    </row>
    <row r="25" customFormat="false" ht="21.75" hidden="false" customHeight="true" outlineLevel="0" collapsed="false">
      <c r="A25" s="6" t="s">
        <v>17</v>
      </c>
      <c r="B25" s="22" t="s">
        <v>57</v>
      </c>
      <c r="C25" s="9" t="str">
        <f aca="false">IF(D14="","",ROUND(D14*(1-$B$4),0))</f>
        <v/>
      </c>
      <c r="D25" s="9" t="n">
        <f aca="false">E14</f>
        <v>1268650</v>
      </c>
      <c r="E25" s="44" t="str">
        <f aca="false">IF(C25="","",MAX(D25-C25,0))</f>
        <v/>
      </c>
      <c r="F25" s="45" t="str">
        <f aca="false">IF(C25="","",E25/D25)</f>
        <v/>
      </c>
      <c r="G25" s="46" t="n">
        <f aca="false">IFERROR(D25/'프로젝트별 구성'!G47,"")</f>
        <v>0.415406024885396</v>
      </c>
      <c r="H25" s="47" t="str">
        <f aca="false">IF(C25="","",IFERROR(MIN(C25,D25)/'프로젝트별 구성'!G47,""))</f>
        <v/>
      </c>
      <c r="I25" s="10" t="str">
        <f aca="false">IF(C25="","",E25*C14)</f>
        <v/>
      </c>
      <c r="J25" s="48" t="str">
        <f aca="false">IF(C25="","타겟 입력 전",IF(E25=0,"OK — 지금 단가로 희망 마진 확보","추가 특가 필요"))</f>
        <v>타겟 입력 전</v>
      </c>
    </row>
    <row r="26" customFormat="false" ht="15" hidden="false" customHeight="false" outlineLevel="0" collapsed="false">
      <c r="A26" s="43" t="s">
        <v>67</v>
      </c>
    </row>
    <row r="28" customFormat="false" ht="16.4" hidden="false" customHeight="false" outlineLevel="0" collapsed="false">
      <c r="A28" s="38" t="s">
        <v>68</v>
      </c>
    </row>
    <row r="29" customFormat="false" ht="36" hidden="false" customHeight="true" outlineLevel="0" collapsed="false">
      <c r="A29" s="4" t="s">
        <v>69</v>
      </c>
      <c r="B29" s="4"/>
      <c r="C29" s="4" t="s">
        <v>70</v>
      </c>
      <c r="D29" s="4" t="s">
        <v>55</v>
      </c>
      <c r="E29" s="4" t="s">
        <v>56</v>
      </c>
      <c r="F29" s="4" t="s">
        <v>54</v>
      </c>
      <c r="G29" s="4" t="s">
        <v>71</v>
      </c>
    </row>
    <row r="30" customFormat="false" ht="25.5" hidden="false" customHeight="true" outlineLevel="0" collapsed="false">
      <c r="A30" s="49" t="s">
        <v>72</v>
      </c>
      <c r="B30" s="49"/>
      <c r="C30" s="9" t="n">
        <f aca="false">C8*E8+C10*E10+C12*E12+C14*E14</f>
        <v>357277500</v>
      </c>
      <c r="D30" s="9" t="str">
        <f aca="false">IF((D8="")+(D10="")+(D12="")+(D14="")&gt;0,"타겟 "&amp;((D8="")+(D10="")+(D12="")+(D14=""))&amp;"건 미입력",H8+H10+H12+H14)</f>
        <v>타겟 4건 미입력</v>
      </c>
      <c r="E30" s="50" t="str">
        <f aca="false">IF(ISNUMBER(D30),D30-C30,"")</f>
        <v/>
      </c>
      <c r="F30" s="51" t="str">
        <f aca="false">IF(ISNUMBER(D30),E30/D30,"")</f>
        <v/>
      </c>
      <c r="G30" s="52" t="str">
        <f aca="false">IF(ISNUMBER(D30),I19+I21+I23+I25,"")</f>
        <v/>
      </c>
    </row>
    <row r="31" customFormat="false" ht="25.5" hidden="false" customHeight="true" outlineLevel="0" collapsed="false">
      <c r="A31" s="49" t="s">
        <v>73</v>
      </c>
      <c r="B31" s="49"/>
      <c r="C31" s="9" t="n">
        <f aca="false">C9*E9+C11*E11+C13*E13+C14*E14</f>
        <v>351877500</v>
      </c>
      <c r="D31" s="9" t="str">
        <f aca="false">IF((D9="")+(D11="")+(D13="")+(D14="")&gt;0,"타겟 "&amp;((D9="")+(D11="")+(D13="")+(D14=""))&amp;"건 미입력",H9+H11+H13+H14)</f>
        <v>타겟 4건 미입력</v>
      </c>
      <c r="E31" s="50" t="str">
        <f aca="false">IF(ISNUMBER(D31),D31-C31,"")</f>
        <v/>
      </c>
      <c r="F31" s="51" t="str">
        <f aca="false">IF(ISNUMBER(D31),E31/D31,"")</f>
        <v/>
      </c>
      <c r="G31" s="52" t="str">
        <f aca="false">IF(ISNUMBER(D31),I20+I22+I24+I25,"")</f>
        <v/>
      </c>
    </row>
    <row r="33" customFormat="false" ht="15" hidden="false" customHeight="false" outlineLevel="0" collapsed="false">
      <c r="A33" s="53" t="s">
        <v>74</v>
      </c>
    </row>
    <row r="34" customFormat="false" ht="15" hidden="false" customHeight="false" outlineLevel="0" collapsed="false">
      <c r="A34" s="54" t="s">
        <v>75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55" t="s">
        <v>76</v>
      </c>
    </row>
    <row r="2" customFormat="false" ht="15" hidden="false" customHeight="false" outlineLevel="0" collapsed="false">
      <c r="A2" s="2" t="s">
        <v>77</v>
      </c>
    </row>
    <row r="4" customFormat="false" ht="36" hidden="false" customHeight="true" outlineLevel="0" collapsed="false">
      <c r="A4" s="4" t="s">
        <v>78</v>
      </c>
      <c r="B4" s="4" t="s">
        <v>79</v>
      </c>
      <c r="C4" s="4" t="s">
        <v>80</v>
      </c>
      <c r="D4" s="5" t="s">
        <v>81</v>
      </c>
      <c r="E4" s="5" t="s">
        <v>82</v>
      </c>
      <c r="F4" s="5" t="s">
        <v>83</v>
      </c>
      <c r="G4" s="5" t="s">
        <v>84</v>
      </c>
      <c r="H4" s="4" t="s">
        <v>85</v>
      </c>
    </row>
    <row r="5" customFormat="false" ht="19.5" hidden="false" customHeight="true" outlineLevel="0" collapsed="false">
      <c r="A5" s="56" t="s">
        <v>86</v>
      </c>
      <c r="B5" s="7" t="str">
        <f aca="false">VLOOKUP(A5,단가표!$B$5:$G$26,3,FALSE())</f>
        <v>CPU (입력 14 / 출력 10)</v>
      </c>
      <c r="C5" s="9" t="n">
        <f aca="false">VLOOKUP(A5,단가표!$B$5:$G$26,6,FALSE())</f>
        <v>392850</v>
      </c>
      <c r="D5" s="57" t="n">
        <f aca="false">1*요약!$C$6+1*요약!$C$8</f>
        <v>250</v>
      </c>
      <c r="E5" s="9" t="n">
        <f aca="false">C5*D5</f>
        <v>98212500</v>
      </c>
      <c r="F5" s="57" t="n">
        <v>0</v>
      </c>
      <c r="G5" s="9" t="n">
        <f aca="false">C5*F5</f>
        <v>0</v>
      </c>
      <c r="H5" s="58" t="s">
        <v>87</v>
      </c>
    </row>
    <row r="6" customFormat="false" ht="19.5" hidden="false" customHeight="true" outlineLevel="0" collapsed="false">
      <c r="A6" s="56" t="s">
        <v>88</v>
      </c>
      <c r="B6" s="7" t="str">
        <f aca="false">VLOOKUP(A6,단가표!$B$5:$G$26,3,FALSE())</f>
        <v>CPU (입력 14 / 출력 10 = 릴레이 6 + TR 4)</v>
      </c>
      <c r="C6" s="9" t="n">
        <f aca="false">VLOOKUP(A6,단가표!$B$5:$G$26,6,FALSE())</f>
        <v>384750</v>
      </c>
      <c r="D6" s="57" t="n">
        <v>0</v>
      </c>
      <c r="E6" s="9" t="n">
        <f aca="false">C6*D6</f>
        <v>0</v>
      </c>
      <c r="F6" s="57" t="n">
        <f aca="false">1*요약!$C$6+1*요약!$C$8</f>
        <v>250</v>
      </c>
      <c r="G6" s="9" t="n">
        <f aca="false">C6*F6</f>
        <v>96187500</v>
      </c>
      <c r="H6" s="58" t="s">
        <v>87</v>
      </c>
    </row>
    <row r="7" customFormat="false" ht="19.5" hidden="false" customHeight="true" outlineLevel="0" collapsed="false">
      <c r="A7" s="56" t="s">
        <v>89</v>
      </c>
      <c r="B7" s="7" t="str">
        <f aca="false">VLOOKUP(A7,단가표!$B$5:$G$26,3,FALSE())</f>
        <v>CPU (입력 24 / 출력 16)</v>
      </c>
      <c r="C7" s="9" t="n">
        <f aca="false">VLOOKUP(A7,단가표!$B$5:$G$26,6,FALSE())</f>
        <v>417600</v>
      </c>
      <c r="D7" s="57" t="n">
        <f aca="false">1*요약!$C$7</f>
        <v>300</v>
      </c>
      <c r="E7" s="9" t="n">
        <f aca="false">C7*D7</f>
        <v>125280000</v>
      </c>
      <c r="F7" s="57" t="n">
        <v>0</v>
      </c>
      <c r="G7" s="9" t="n">
        <f aca="false">C7*F7</f>
        <v>0</v>
      </c>
      <c r="H7" s="58" t="s">
        <v>13</v>
      </c>
    </row>
    <row r="8" customFormat="false" ht="19.5" hidden="false" customHeight="true" outlineLevel="0" collapsed="false">
      <c r="A8" s="56" t="s">
        <v>90</v>
      </c>
      <c r="B8" s="7" t="str">
        <f aca="false">VLOOKUP(A8,단가표!$B$5:$G$26,3,FALSE())</f>
        <v>CPU (입력 24 / 출력 16 = 릴레이 12 + TR 4)</v>
      </c>
      <c r="C8" s="9" t="n">
        <f aca="false">VLOOKUP(A8,단가표!$B$5:$G$26,6,FALSE())</f>
        <v>406350</v>
      </c>
      <c r="D8" s="57" t="n">
        <v>0</v>
      </c>
      <c r="E8" s="9" t="n">
        <f aca="false">C8*D8</f>
        <v>0</v>
      </c>
      <c r="F8" s="57" t="n">
        <f aca="false">1*요약!$C$7</f>
        <v>300</v>
      </c>
      <c r="G8" s="9" t="n">
        <f aca="false">C8*F8</f>
        <v>121905000</v>
      </c>
      <c r="H8" s="58" t="s">
        <v>13</v>
      </c>
    </row>
    <row r="9" customFormat="false" ht="19.5" hidden="false" customHeight="true" outlineLevel="0" collapsed="false">
      <c r="A9" s="56" t="s">
        <v>91</v>
      </c>
      <c r="B9" s="7" t="str">
        <f aca="false">VLOOKUP(A9,단가표!$B$5:$G$26,3,FALSE())</f>
        <v>CPU + 이더넷 (입력 24 / 출력 16) — MCC, 견적에 없어 추정가</v>
      </c>
      <c r="C9" s="44" t="n">
        <f aca="false">VLOOKUP(A9,단가표!$B$5:$G$26,6,FALSE())</f>
        <v>423450</v>
      </c>
      <c r="D9" s="57" t="n">
        <f aca="false">1*요약!$C$9</f>
        <v>100</v>
      </c>
      <c r="E9" s="9" t="n">
        <f aca="false">C9*D9</f>
        <v>42345000</v>
      </c>
      <c r="F9" s="57" t="n">
        <f aca="false">1*요약!$C$9</f>
        <v>100</v>
      </c>
      <c r="G9" s="9" t="n">
        <f aca="false">C9*F9</f>
        <v>42345000</v>
      </c>
      <c r="H9" s="59" t="s">
        <v>92</v>
      </c>
    </row>
    <row r="10" customFormat="false" ht="19.5" hidden="false" customHeight="true" outlineLevel="0" collapsed="false">
      <c r="A10" s="56" t="s">
        <v>93</v>
      </c>
      <c r="B10" s="7" t="str">
        <f aca="false">VLOOKUP(A10,단가표!$B$5:$G$26,3,FALSE())</f>
        <v>디지털 입력 16점</v>
      </c>
      <c r="C10" s="9" t="n">
        <f aca="false">VLOOKUP(A10,단가표!$B$5:$G$26,6,FALSE())</f>
        <v>91200</v>
      </c>
      <c r="D10" s="57" t="n">
        <f aca="false">5*요약!$C$9</f>
        <v>500</v>
      </c>
      <c r="E10" s="9" t="n">
        <f aca="false">C10*D10</f>
        <v>45600000</v>
      </c>
      <c r="F10" s="57" t="n">
        <f aca="false">5*요약!$C$9</f>
        <v>500</v>
      </c>
      <c r="G10" s="9" t="n">
        <f aca="false">C10*F10</f>
        <v>45600000</v>
      </c>
      <c r="H10" s="58" t="s">
        <v>94</v>
      </c>
    </row>
    <row r="11" customFormat="false" ht="19.5" hidden="false" customHeight="true" outlineLevel="0" collapsed="false">
      <c r="A11" s="56" t="s">
        <v>95</v>
      </c>
      <c r="B11" s="7" t="str">
        <f aca="false">VLOOKUP(A11,단가표!$B$5:$G$26,3,FALSE())</f>
        <v>트랜지스터 출력 16점</v>
      </c>
      <c r="C11" s="9" t="n">
        <f aca="false">VLOOKUP(A11,단가표!$B$5:$G$26,6,FALSE())</f>
        <v>90800</v>
      </c>
      <c r="D11" s="57" t="n">
        <f aca="false">2*요약!$C$9</f>
        <v>200</v>
      </c>
      <c r="E11" s="9" t="n">
        <f aca="false">C11*D11</f>
        <v>18160000</v>
      </c>
      <c r="F11" s="57" t="n">
        <f aca="false">2*요약!$C$9</f>
        <v>200</v>
      </c>
      <c r="G11" s="9" t="n">
        <f aca="false">C11*F11</f>
        <v>18160000</v>
      </c>
      <c r="H11" s="58" t="s">
        <v>96</v>
      </c>
    </row>
    <row r="12" customFormat="false" ht="19.5" hidden="false" customHeight="true" outlineLevel="0" collapsed="false">
      <c r="A12" s="56" t="s">
        <v>97</v>
      </c>
      <c r="B12" s="7" t="str">
        <f aca="false">VLOOKUP(A12,단가표!$B$5:$G$26,3,FALSE())</f>
        <v>트랜지스터 출력 8점</v>
      </c>
      <c r="C12" s="9" t="n">
        <f aca="false">VLOOKUP(A12,단가표!$B$5:$G$26,6,FALSE())</f>
        <v>67200</v>
      </c>
      <c r="D12" s="57" t="n">
        <f aca="false">1*요약!$C$9</f>
        <v>100</v>
      </c>
      <c r="E12" s="9" t="n">
        <f aca="false">C12*D12</f>
        <v>6720000</v>
      </c>
      <c r="F12" s="57" t="n">
        <f aca="false">1*요약!$C$9</f>
        <v>100</v>
      </c>
      <c r="G12" s="9" t="n">
        <f aca="false">C12*F12</f>
        <v>6720000</v>
      </c>
      <c r="H12" s="58" t="s">
        <v>17</v>
      </c>
    </row>
    <row r="13" customFormat="false" ht="19.5" hidden="false" customHeight="true" outlineLevel="0" collapsed="false">
      <c r="A13" s="56" t="s">
        <v>98</v>
      </c>
      <c r="B13" s="7" t="str">
        <f aca="false">VLOOKUP(A13,단가표!$B$5:$G$26,3,FALSE())</f>
        <v>아날로그 출력 2CH</v>
      </c>
      <c r="C13" s="9" t="n">
        <f aca="false">VLOOKUP(A13,단가표!$B$5:$G$26,6,FALSE())</f>
        <v>138400</v>
      </c>
      <c r="D13" s="57" t="n">
        <f aca="false">1*요약!$C$8</f>
        <v>50</v>
      </c>
      <c r="E13" s="9" t="n">
        <f aca="false">C13*D13</f>
        <v>6920000</v>
      </c>
      <c r="F13" s="57" t="n">
        <f aca="false">1*요약!$C$8</f>
        <v>50</v>
      </c>
      <c r="G13" s="9" t="n">
        <f aca="false">C13*F13</f>
        <v>6920000</v>
      </c>
      <c r="H13" s="58" t="s">
        <v>15</v>
      </c>
    </row>
    <row r="14" customFormat="false" ht="19.5" hidden="false" customHeight="true" outlineLevel="0" collapsed="false">
      <c r="A14" s="56" t="s">
        <v>99</v>
      </c>
      <c r="B14" s="7" t="str">
        <f aca="false">VLOOKUP(A14,단가표!$B$5:$G$26,3,FALSE())</f>
        <v>아날로그 출력 4CH</v>
      </c>
      <c r="C14" s="9" t="n">
        <f aca="false">VLOOKUP(A14,단가표!$B$5:$G$26,6,FALSE())</f>
        <v>140400</v>
      </c>
      <c r="D14" s="57" t="n">
        <f aca="false">1*요약!$C$9</f>
        <v>100</v>
      </c>
      <c r="E14" s="9" t="n">
        <f aca="false">C14*D14</f>
        <v>14040000</v>
      </c>
      <c r="F14" s="57" t="n">
        <f aca="false">1*요약!$C$9</f>
        <v>100</v>
      </c>
      <c r="G14" s="9" t="n">
        <f aca="false">C14*F14</f>
        <v>14040000</v>
      </c>
      <c r="H14" s="58" t="s">
        <v>17</v>
      </c>
    </row>
    <row r="15" customFormat="false" ht="19.5" hidden="false" customHeight="true" outlineLevel="0" collapsed="false">
      <c r="A15" s="56" t="s">
        <v>100</v>
      </c>
      <c r="B15" s="7" t="str">
        <f aca="false">VLOOKUP(A15,단가표!$B$5:$G$26,3,FALSE())</f>
        <v>TM3 버스 확장 송신 (MCC)</v>
      </c>
      <c r="C15" s="9" t="n">
        <f aca="false">VLOOKUP(A15,단가표!$B$5:$G$26,6,FALSE())</f>
        <v>0</v>
      </c>
      <c r="D15" s="57" t="n">
        <f aca="false">1*요약!$C$9</f>
        <v>100</v>
      </c>
      <c r="E15" s="9" t="n">
        <f aca="false">C15*D15</f>
        <v>0</v>
      </c>
      <c r="F15" s="57" t="n">
        <f aca="false">1*요약!$C$9</f>
        <v>100</v>
      </c>
      <c r="G15" s="9" t="n">
        <f aca="false">C15*F15</f>
        <v>0</v>
      </c>
      <c r="H15" s="59" t="s">
        <v>101</v>
      </c>
    </row>
    <row r="16" customFormat="false" ht="19.5" hidden="false" customHeight="true" outlineLevel="0" collapsed="false">
      <c r="A16" s="56" t="s">
        <v>102</v>
      </c>
      <c r="B16" s="7" t="str">
        <f aca="false">VLOOKUP(A16,단가표!$B$5:$G$26,3,FALSE())</f>
        <v>TM3 버스 확장 수신 (MCC)</v>
      </c>
      <c r="C16" s="9" t="n">
        <f aca="false">VLOOKUP(A16,단가표!$B$5:$G$26,6,FALSE())</f>
        <v>0</v>
      </c>
      <c r="D16" s="57" t="n">
        <f aca="false">1*요약!$C$9</f>
        <v>100</v>
      </c>
      <c r="E16" s="9" t="n">
        <f aca="false">C16*D16</f>
        <v>0</v>
      </c>
      <c r="F16" s="57" t="n">
        <f aca="false">1*요약!$C$9</f>
        <v>100</v>
      </c>
      <c r="G16" s="9" t="n">
        <f aca="false">C16*F16</f>
        <v>0</v>
      </c>
      <c r="H16" s="59" t="s">
        <v>101</v>
      </c>
    </row>
    <row r="17" customFormat="false" ht="24" hidden="false" customHeight="true" outlineLevel="0" collapsed="false">
      <c r="A17" s="13" t="s">
        <v>20</v>
      </c>
      <c r="B17" s="13"/>
      <c r="C17" s="13"/>
      <c r="D17" s="60" t="n">
        <f aca="false">SUM(D5:D16)</f>
        <v>1800</v>
      </c>
      <c r="E17" s="61" t="n">
        <f aca="false">SUM(E5:E16)</f>
        <v>357277500</v>
      </c>
      <c r="F17" s="60" t="n">
        <f aca="false">SUM(F5:F16)</f>
        <v>1800</v>
      </c>
      <c r="G17" s="61" t="n">
        <f aca="false">SUM(G5:G16)</f>
        <v>351877500</v>
      </c>
      <c r="H17" s="15"/>
    </row>
    <row r="19" customFormat="false" ht="15" hidden="false" customHeight="false" outlineLevel="0" collapsed="false">
      <c r="A19" s="62" t="s">
        <v>103</v>
      </c>
    </row>
    <row r="20" customFormat="false" ht="15" hidden="false" customHeight="false" outlineLevel="0" collapsed="false">
      <c r="A20" s="62" t="s">
        <v>104</v>
      </c>
    </row>
  </sheetData>
  <mergeCells count="1"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35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true" outlineLevel="0" collapsed="false">
      <c r="A3" s="23" t="s">
        <v>107</v>
      </c>
      <c r="B3" s="23"/>
      <c r="C3" s="63" t="s">
        <v>108</v>
      </c>
      <c r="D3" s="64" t="s">
        <v>109</v>
      </c>
      <c r="E3" s="65" t="str">
        <f aca="false">"✕ "&amp;COUNTIF(F7:F24,"✕")&amp;"건   △ "&amp;COUNTIF(F7:F24,"△")&amp;"건   ○ "&amp;COUNTIF(F7:F24,"○")&amp;"건"</f>
        <v>✕ 3건   △ 6건   ○ 9건</v>
      </c>
      <c r="F3" s="65"/>
      <c r="G3" s="65"/>
    </row>
    <row r="6" customFormat="false" ht="25.5" hidden="false" customHeight="true" outlineLevel="0" collapsed="false">
      <c r="A6" s="5" t="s">
        <v>110</v>
      </c>
      <c r="B6" s="4" t="s">
        <v>23</v>
      </c>
      <c r="C6" s="4" t="s">
        <v>111</v>
      </c>
      <c r="D6" s="5" t="s">
        <v>112</v>
      </c>
      <c r="E6" s="5" t="s">
        <v>113</v>
      </c>
      <c r="F6" s="4" t="s">
        <v>25</v>
      </c>
      <c r="G6" s="4" t="s">
        <v>114</v>
      </c>
    </row>
    <row r="7" customFormat="false" ht="48" hidden="false" customHeight="true" outlineLevel="0" collapsed="false">
      <c r="A7" s="22" t="n">
        <v>1</v>
      </c>
      <c r="B7" s="66" t="s">
        <v>115</v>
      </c>
      <c r="C7" s="67" t="s">
        <v>116</v>
      </c>
      <c r="D7" s="68" t="s">
        <v>117</v>
      </c>
      <c r="E7" s="7" t="s">
        <v>118</v>
      </c>
      <c r="F7" s="69" t="s">
        <v>119</v>
      </c>
      <c r="G7" s="68" t="s">
        <v>120</v>
      </c>
    </row>
    <row r="8" customFormat="false" ht="48" hidden="false" customHeight="true" outlineLevel="0" collapsed="false">
      <c r="A8" s="22" t="n">
        <v>2</v>
      </c>
      <c r="B8" s="66" t="s">
        <v>115</v>
      </c>
      <c r="C8" s="67" t="s">
        <v>121</v>
      </c>
      <c r="D8" s="68" t="s">
        <v>122</v>
      </c>
      <c r="E8" s="7" t="s">
        <v>123</v>
      </c>
      <c r="F8" s="69" t="s">
        <v>119</v>
      </c>
      <c r="G8" s="68" t="s">
        <v>124</v>
      </c>
    </row>
    <row r="9" customFormat="false" ht="48" hidden="false" customHeight="true" outlineLevel="0" collapsed="false">
      <c r="A9" s="22" t="n">
        <v>3</v>
      </c>
      <c r="B9" s="66" t="s">
        <v>115</v>
      </c>
      <c r="C9" s="67" t="s">
        <v>125</v>
      </c>
      <c r="D9" s="68" t="s">
        <v>126</v>
      </c>
      <c r="E9" s="7" t="s">
        <v>127</v>
      </c>
      <c r="F9" s="69" t="s">
        <v>119</v>
      </c>
      <c r="G9" s="68" t="s">
        <v>128</v>
      </c>
    </row>
    <row r="10" customFormat="false" ht="33.75" hidden="false" customHeight="true" outlineLevel="0" collapsed="false">
      <c r="A10" s="22" t="n">
        <v>4</v>
      </c>
      <c r="B10" s="66" t="s">
        <v>115</v>
      </c>
      <c r="C10" s="67" t="s">
        <v>129</v>
      </c>
      <c r="D10" s="7" t="s">
        <v>130</v>
      </c>
      <c r="E10" s="68" t="s">
        <v>131</v>
      </c>
      <c r="F10" s="69" t="s">
        <v>119</v>
      </c>
      <c r="G10" s="68" t="s">
        <v>132</v>
      </c>
    </row>
    <row r="11" customFormat="false" ht="48" hidden="false" customHeight="true" outlineLevel="0" collapsed="false">
      <c r="A11" s="22" t="n">
        <v>5</v>
      </c>
      <c r="B11" s="66" t="s">
        <v>115</v>
      </c>
      <c r="C11" s="67" t="s">
        <v>133</v>
      </c>
      <c r="D11" s="7" t="s">
        <v>134</v>
      </c>
      <c r="E11" s="68" t="s">
        <v>135</v>
      </c>
      <c r="F11" s="70" t="s">
        <v>136</v>
      </c>
      <c r="G11" s="71" t="s">
        <v>137</v>
      </c>
    </row>
    <row r="12" customFormat="false" ht="33.75" hidden="false" customHeight="true" outlineLevel="0" collapsed="false">
      <c r="A12" s="22" t="n">
        <v>6</v>
      </c>
      <c r="B12" s="66" t="s">
        <v>115</v>
      </c>
      <c r="C12" s="67" t="s">
        <v>138</v>
      </c>
      <c r="D12" s="7" t="s">
        <v>139</v>
      </c>
      <c r="E12" s="7" t="s">
        <v>140</v>
      </c>
      <c r="F12" s="69" t="s">
        <v>119</v>
      </c>
      <c r="G12" s="68" t="s">
        <v>141</v>
      </c>
    </row>
    <row r="13" customFormat="false" ht="33.75" hidden="false" customHeight="true" outlineLevel="0" collapsed="false">
      <c r="A13" s="22" t="n">
        <v>7</v>
      </c>
      <c r="B13" s="66" t="s">
        <v>115</v>
      </c>
      <c r="C13" s="67" t="s">
        <v>142</v>
      </c>
      <c r="D13" s="7" t="s">
        <v>143</v>
      </c>
      <c r="E13" s="68" t="s">
        <v>144</v>
      </c>
      <c r="F13" s="72" t="s">
        <v>145</v>
      </c>
      <c r="G13" s="73" t="s">
        <v>146</v>
      </c>
    </row>
    <row r="14" customFormat="false" ht="33.75" hidden="false" customHeight="true" outlineLevel="0" collapsed="false">
      <c r="A14" s="22" t="n">
        <v>8</v>
      </c>
      <c r="B14" s="66" t="s">
        <v>147</v>
      </c>
      <c r="C14" s="74" t="s">
        <v>148</v>
      </c>
      <c r="D14" s="7" t="s">
        <v>149</v>
      </c>
      <c r="E14" s="7" t="s">
        <v>150</v>
      </c>
      <c r="F14" s="69" t="s">
        <v>119</v>
      </c>
      <c r="G14" s="68" t="s">
        <v>141</v>
      </c>
    </row>
    <row r="15" customFormat="false" ht="48" hidden="false" customHeight="true" outlineLevel="0" collapsed="false">
      <c r="A15" s="22" t="n">
        <v>9</v>
      </c>
      <c r="B15" s="66" t="s">
        <v>147</v>
      </c>
      <c r="C15" s="67" t="s">
        <v>151</v>
      </c>
      <c r="D15" s="7" t="s">
        <v>152</v>
      </c>
      <c r="E15" s="7" t="s">
        <v>153</v>
      </c>
      <c r="F15" s="69" t="s">
        <v>119</v>
      </c>
      <c r="G15" s="68" t="s">
        <v>154</v>
      </c>
    </row>
    <row r="16" customFormat="false" ht="48" hidden="false" customHeight="true" outlineLevel="0" collapsed="false">
      <c r="A16" s="22" t="n">
        <v>10</v>
      </c>
      <c r="B16" s="66" t="s">
        <v>147</v>
      </c>
      <c r="C16" s="67" t="s">
        <v>155</v>
      </c>
      <c r="D16" s="7" t="s">
        <v>156</v>
      </c>
      <c r="E16" s="7" t="s">
        <v>157</v>
      </c>
      <c r="F16" s="69" t="s">
        <v>119</v>
      </c>
      <c r="G16" s="7" t="s">
        <v>158</v>
      </c>
    </row>
    <row r="17" customFormat="false" ht="33.75" hidden="false" customHeight="true" outlineLevel="0" collapsed="false">
      <c r="A17" s="22" t="n">
        <v>11</v>
      </c>
      <c r="B17" s="66" t="s">
        <v>147</v>
      </c>
      <c r="C17" s="67" t="s">
        <v>159</v>
      </c>
      <c r="D17" s="7" t="s">
        <v>160</v>
      </c>
      <c r="E17" s="7" t="s">
        <v>161</v>
      </c>
      <c r="F17" s="72" t="s">
        <v>145</v>
      </c>
      <c r="G17" s="75" t="s">
        <v>162</v>
      </c>
    </row>
    <row r="18" customFormat="false" ht="21.75" hidden="false" customHeight="true" outlineLevel="0" collapsed="false">
      <c r="A18" s="22" t="n">
        <v>12</v>
      </c>
      <c r="B18" s="66" t="s">
        <v>147</v>
      </c>
      <c r="C18" s="74" t="s">
        <v>163</v>
      </c>
      <c r="D18" s="7" t="s">
        <v>164</v>
      </c>
      <c r="E18" s="7" t="s">
        <v>165</v>
      </c>
      <c r="F18" s="70" t="s">
        <v>136</v>
      </c>
      <c r="G18" s="71" t="s">
        <v>166</v>
      </c>
    </row>
    <row r="19" customFormat="false" ht="48" hidden="false" customHeight="true" outlineLevel="0" collapsed="false">
      <c r="A19" s="22" t="n">
        <v>13</v>
      </c>
      <c r="B19" s="66" t="s">
        <v>147</v>
      </c>
      <c r="C19" s="67" t="s">
        <v>167</v>
      </c>
      <c r="D19" s="68" t="s">
        <v>168</v>
      </c>
      <c r="E19" s="68" t="s">
        <v>169</v>
      </c>
      <c r="F19" s="72" t="s">
        <v>145</v>
      </c>
      <c r="G19" s="73" t="s">
        <v>170</v>
      </c>
    </row>
    <row r="20" customFormat="false" ht="33.75" hidden="false" customHeight="true" outlineLevel="0" collapsed="false">
      <c r="A20" s="22" t="n">
        <v>14</v>
      </c>
      <c r="B20" s="66" t="s">
        <v>147</v>
      </c>
      <c r="C20" s="74" t="s">
        <v>171</v>
      </c>
      <c r="D20" s="7" t="s">
        <v>172</v>
      </c>
      <c r="E20" s="7" t="s">
        <v>173</v>
      </c>
      <c r="F20" s="69" t="s">
        <v>119</v>
      </c>
      <c r="G20" s="68" t="s">
        <v>174</v>
      </c>
    </row>
    <row r="21" customFormat="false" ht="61.5" hidden="false" customHeight="true" outlineLevel="0" collapsed="false">
      <c r="A21" s="22" t="n">
        <v>15</v>
      </c>
      <c r="B21" s="66" t="s">
        <v>175</v>
      </c>
      <c r="C21" s="74" t="s">
        <v>176</v>
      </c>
      <c r="D21" s="68" t="s">
        <v>177</v>
      </c>
      <c r="E21" s="68" t="s">
        <v>178</v>
      </c>
      <c r="F21" s="72" t="s">
        <v>145</v>
      </c>
      <c r="G21" s="73" t="s">
        <v>179</v>
      </c>
    </row>
    <row r="22" customFormat="false" ht="75.75" hidden="false" customHeight="true" outlineLevel="0" collapsed="false">
      <c r="A22" s="22" t="n">
        <v>16</v>
      </c>
      <c r="B22" s="66" t="s">
        <v>175</v>
      </c>
      <c r="C22" s="67" t="s">
        <v>180</v>
      </c>
      <c r="D22" s="7" t="s">
        <v>181</v>
      </c>
      <c r="E22" s="68" t="s">
        <v>182</v>
      </c>
      <c r="F22" s="72" t="s">
        <v>145</v>
      </c>
      <c r="G22" s="75" t="s">
        <v>183</v>
      </c>
    </row>
    <row r="23" customFormat="false" ht="21.75" hidden="false" customHeight="true" outlineLevel="0" collapsed="false">
      <c r="A23" s="22" t="n">
        <v>17</v>
      </c>
      <c r="B23" s="66" t="s">
        <v>175</v>
      </c>
      <c r="C23" s="74" t="s">
        <v>184</v>
      </c>
      <c r="D23" s="68" t="s">
        <v>185</v>
      </c>
      <c r="E23" s="68" t="s">
        <v>186</v>
      </c>
      <c r="F23" s="70" t="s">
        <v>136</v>
      </c>
      <c r="G23" s="76" t="s">
        <v>187</v>
      </c>
    </row>
    <row r="24" customFormat="false" ht="33.75" hidden="false" customHeight="true" outlineLevel="0" collapsed="false">
      <c r="A24" s="22" t="n">
        <v>18</v>
      </c>
      <c r="B24" s="66" t="s">
        <v>175</v>
      </c>
      <c r="C24" s="67" t="s">
        <v>188</v>
      </c>
      <c r="D24" s="68" t="s">
        <v>189</v>
      </c>
      <c r="E24" s="68" t="s">
        <v>190</v>
      </c>
      <c r="F24" s="72" t="s">
        <v>145</v>
      </c>
      <c r="G24" s="73" t="s">
        <v>191</v>
      </c>
    </row>
    <row r="26" customFormat="false" ht="16.4" hidden="false" customHeight="false" outlineLevel="0" collapsed="false">
      <c r="A26" s="77" t="s">
        <v>192</v>
      </c>
    </row>
    <row r="27" customFormat="false" ht="19.5" hidden="false" customHeight="true" outlineLevel="0" collapsed="false">
      <c r="A27" s="32" t="s">
        <v>193</v>
      </c>
      <c r="B27" s="32"/>
      <c r="C27" s="32"/>
      <c r="D27" s="32"/>
      <c r="E27" s="32"/>
      <c r="F27" s="32"/>
      <c r="G27" s="32"/>
    </row>
  </sheetData>
  <mergeCells count="3">
    <mergeCell ref="A3:B3"/>
    <mergeCell ref="E3:G3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9.4" hidden="false" customHeight="false" outlineLevel="0" collapsed="false">
      <c r="A1" s="55" t="s">
        <v>194</v>
      </c>
    </row>
    <row r="2" customFormat="false" ht="15" hidden="false" customHeight="false" outlineLevel="0" collapsed="false">
      <c r="A2" s="2" t="s">
        <v>195</v>
      </c>
    </row>
    <row r="4" customFormat="false" ht="24" hidden="false" customHeight="true" outlineLevel="0" collapsed="false">
      <c r="A4" s="78" t="s">
        <v>11</v>
      </c>
      <c r="B4" s="78"/>
      <c r="C4" s="78"/>
      <c r="D4" s="78"/>
      <c r="E4" s="78"/>
      <c r="F4" s="78"/>
      <c r="G4" s="78"/>
    </row>
    <row r="5" customFormat="false" ht="15" hidden="false" customHeight="true" outlineLevel="0" collapsed="false">
      <c r="A5" s="36" t="s">
        <v>196</v>
      </c>
      <c r="B5" s="79" t="s">
        <v>12</v>
      </c>
      <c r="C5" s="79"/>
      <c r="D5" s="79"/>
      <c r="E5" s="79"/>
      <c r="F5" s="79"/>
      <c r="G5" s="79"/>
    </row>
    <row r="6" customFormat="false" ht="15" hidden="false" customHeight="true" outlineLevel="0" collapsed="false">
      <c r="A6" s="36" t="s">
        <v>197</v>
      </c>
      <c r="B6" s="80" t="s">
        <v>198</v>
      </c>
      <c r="C6" s="80"/>
      <c r="D6" s="80"/>
      <c r="E6" s="80"/>
      <c r="F6" s="80"/>
      <c r="G6" s="80"/>
    </row>
    <row r="7" customFormat="false" ht="21.75" hidden="false" customHeight="true" outlineLevel="0" collapsed="false">
      <c r="A7" s="4" t="s">
        <v>49</v>
      </c>
      <c r="B7" s="4" t="s">
        <v>78</v>
      </c>
      <c r="C7" s="4" t="s">
        <v>79</v>
      </c>
      <c r="D7" s="4" t="s">
        <v>199</v>
      </c>
      <c r="E7" s="4" t="s">
        <v>200</v>
      </c>
      <c r="F7" s="4" t="s">
        <v>201</v>
      </c>
      <c r="G7" s="4" t="s">
        <v>202</v>
      </c>
    </row>
    <row r="8" customFormat="false" ht="15" hidden="false" customHeight="false" outlineLevel="0" collapsed="false">
      <c r="A8" s="22" t="s">
        <v>203</v>
      </c>
      <c r="B8" s="56" t="s">
        <v>86</v>
      </c>
      <c r="C8" s="81" t="str">
        <f aca="false">VLOOKUP(B8,단가표!$B$5:$G$26,3,FALSE())</f>
        <v>CPU (입력 14 / 출력 10)</v>
      </c>
      <c r="D8" s="22" t="n">
        <v>1</v>
      </c>
      <c r="E8" s="9" t="n">
        <f aca="false">VLOOKUP(B8,단가표!$B$5:$G$26,6,FALSE())</f>
        <v>392850</v>
      </c>
      <c r="F8" s="9" t="n">
        <f aca="false">D8*E8</f>
        <v>392850</v>
      </c>
      <c r="G8" s="82" t="n">
        <f aca="false">D8*VLOOKUP(B8,단가표!$B$5:$G$26,4,FALSE())</f>
        <v>873000</v>
      </c>
    </row>
    <row r="9" customFormat="false" ht="15" hidden="false" customHeight="false" outlineLevel="0" collapsed="false">
      <c r="A9" s="83" t="s">
        <v>204</v>
      </c>
      <c r="B9" s="83"/>
      <c r="C9" s="83"/>
      <c r="D9" s="83"/>
      <c r="E9" s="83"/>
      <c r="F9" s="61" t="n">
        <f aca="false">SUM(F8:F8)</f>
        <v>392850</v>
      </c>
      <c r="G9" s="84" t="n">
        <f aca="false">SUM(G8:G8)</f>
        <v>873000</v>
      </c>
    </row>
    <row r="10" customFormat="false" ht="15" hidden="false" customHeight="false" outlineLevel="0" collapsed="false">
      <c r="A10" s="22" t="s">
        <v>59</v>
      </c>
      <c r="B10" s="56" t="s">
        <v>88</v>
      </c>
      <c r="C10" s="81" t="str">
        <f aca="false">VLOOKUP(B10,단가표!$B$5:$G$26,3,FALSE())</f>
        <v>CPU (입력 14 / 출력 10 = 릴레이 6 + TR 4)</v>
      </c>
      <c r="D10" s="22" t="n">
        <v>1</v>
      </c>
      <c r="E10" s="9" t="n">
        <f aca="false">VLOOKUP(B10,단가표!$B$5:$G$26,6,FALSE())</f>
        <v>384750</v>
      </c>
      <c r="F10" s="9" t="n">
        <f aca="false">D10*E10</f>
        <v>384750</v>
      </c>
      <c r="G10" s="82" t="n">
        <f aca="false">D10*VLOOKUP(B10,단가표!$B$5:$G$26,4,FALSE())</f>
        <v>855000</v>
      </c>
    </row>
    <row r="11" customFormat="false" ht="15" hidden="false" customHeight="false" outlineLevel="0" collapsed="false">
      <c r="A11" s="83" t="s">
        <v>205</v>
      </c>
      <c r="B11" s="83"/>
      <c r="C11" s="83"/>
      <c r="D11" s="83"/>
      <c r="E11" s="83"/>
      <c r="F11" s="61" t="n">
        <f aca="false">SUM(F10:F10)</f>
        <v>384750</v>
      </c>
      <c r="G11" s="84" t="n">
        <f aca="false">SUM(G10:G10)</f>
        <v>855000</v>
      </c>
    </row>
    <row r="12" customFormat="false" ht="18" hidden="false" customHeight="true" outlineLevel="0" collapsed="false">
      <c r="A12" s="85" t="s">
        <v>206</v>
      </c>
      <c r="B12" s="85"/>
      <c r="C12" s="85"/>
      <c r="D12" s="85"/>
      <c r="E12" s="85"/>
      <c r="F12" s="85"/>
      <c r="G12" s="85"/>
    </row>
    <row r="14" customFormat="false" ht="24" hidden="false" customHeight="true" outlineLevel="0" collapsed="false">
      <c r="A14" s="78" t="s">
        <v>13</v>
      </c>
      <c r="B14" s="78"/>
      <c r="C14" s="78"/>
      <c r="D14" s="78"/>
      <c r="E14" s="78"/>
      <c r="F14" s="78"/>
      <c r="G14" s="78"/>
    </row>
    <row r="15" customFormat="false" ht="15" hidden="false" customHeight="true" outlineLevel="0" collapsed="false">
      <c r="A15" s="36" t="s">
        <v>196</v>
      </c>
      <c r="B15" s="79" t="s">
        <v>14</v>
      </c>
      <c r="C15" s="79"/>
      <c r="D15" s="79"/>
      <c r="E15" s="79"/>
      <c r="F15" s="79"/>
      <c r="G15" s="79"/>
    </row>
    <row r="16" customFormat="false" ht="15" hidden="false" customHeight="true" outlineLevel="0" collapsed="false">
      <c r="A16" s="36" t="s">
        <v>197</v>
      </c>
      <c r="B16" s="80" t="s">
        <v>207</v>
      </c>
      <c r="C16" s="80"/>
      <c r="D16" s="80"/>
      <c r="E16" s="80"/>
      <c r="F16" s="80"/>
      <c r="G16" s="80"/>
    </row>
    <row r="17" customFormat="false" ht="21.75" hidden="false" customHeight="true" outlineLevel="0" collapsed="false">
      <c r="A17" s="4" t="s">
        <v>49</v>
      </c>
      <c r="B17" s="4" t="s">
        <v>78</v>
      </c>
      <c r="C17" s="4" t="s">
        <v>79</v>
      </c>
      <c r="D17" s="4" t="s">
        <v>199</v>
      </c>
      <c r="E17" s="4" t="s">
        <v>200</v>
      </c>
      <c r="F17" s="4" t="s">
        <v>201</v>
      </c>
      <c r="G17" s="4" t="s">
        <v>202</v>
      </c>
    </row>
    <row r="18" customFormat="false" ht="15" hidden="false" customHeight="false" outlineLevel="0" collapsed="false">
      <c r="A18" s="22" t="s">
        <v>203</v>
      </c>
      <c r="B18" s="56" t="s">
        <v>89</v>
      </c>
      <c r="C18" s="81" t="str">
        <f aca="false">VLOOKUP(B18,단가표!$B$5:$G$26,3,FALSE())</f>
        <v>CPU (입력 24 / 출력 16)</v>
      </c>
      <c r="D18" s="22" t="n">
        <v>1</v>
      </c>
      <c r="E18" s="9" t="n">
        <f aca="false">VLOOKUP(B18,단가표!$B$5:$G$26,6,FALSE())</f>
        <v>417600</v>
      </c>
      <c r="F18" s="9" t="n">
        <f aca="false">D18*E18</f>
        <v>417600</v>
      </c>
      <c r="G18" s="82" t="n">
        <f aca="false">D18*VLOOKUP(B18,단가표!$B$5:$G$26,4,FALSE())</f>
        <v>928000</v>
      </c>
    </row>
    <row r="19" customFormat="false" ht="15" hidden="false" customHeight="false" outlineLevel="0" collapsed="false">
      <c r="A19" s="83" t="s">
        <v>204</v>
      </c>
      <c r="B19" s="83"/>
      <c r="C19" s="83"/>
      <c r="D19" s="83"/>
      <c r="E19" s="83"/>
      <c r="F19" s="61" t="n">
        <f aca="false">SUM(F18:F18)</f>
        <v>417600</v>
      </c>
      <c r="G19" s="84" t="n">
        <f aca="false">SUM(G18:G18)</f>
        <v>928000</v>
      </c>
    </row>
    <row r="20" customFormat="false" ht="15" hidden="false" customHeight="false" outlineLevel="0" collapsed="false">
      <c r="A20" s="22" t="s">
        <v>59</v>
      </c>
      <c r="B20" s="56" t="s">
        <v>90</v>
      </c>
      <c r="C20" s="81" t="str">
        <f aca="false">VLOOKUP(B20,단가표!$B$5:$G$26,3,FALSE())</f>
        <v>CPU (입력 24 / 출력 16 = 릴레이 12 + TR 4)</v>
      </c>
      <c r="D20" s="22" t="n">
        <v>1</v>
      </c>
      <c r="E20" s="9" t="n">
        <f aca="false">VLOOKUP(B20,단가표!$B$5:$G$26,6,FALSE())</f>
        <v>406350</v>
      </c>
      <c r="F20" s="9" t="n">
        <f aca="false">D20*E20</f>
        <v>406350</v>
      </c>
      <c r="G20" s="82" t="n">
        <f aca="false">D20*VLOOKUP(B20,단가표!$B$5:$G$26,4,FALSE())</f>
        <v>903000</v>
      </c>
    </row>
    <row r="21" customFormat="false" ht="15" hidden="false" customHeight="false" outlineLevel="0" collapsed="false">
      <c r="A21" s="83" t="s">
        <v>205</v>
      </c>
      <c r="B21" s="83"/>
      <c r="C21" s="83"/>
      <c r="D21" s="83"/>
      <c r="E21" s="83"/>
      <c r="F21" s="61" t="n">
        <f aca="false">SUM(F20:F20)</f>
        <v>406350</v>
      </c>
      <c r="G21" s="84" t="n">
        <f aca="false">SUM(G20:G20)</f>
        <v>903000</v>
      </c>
    </row>
    <row r="22" customFormat="false" ht="30" hidden="false" customHeight="true" outlineLevel="0" collapsed="false">
      <c r="A22" s="86" t="s">
        <v>208</v>
      </c>
      <c r="B22" s="86"/>
      <c r="C22" s="86"/>
      <c r="D22" s="86"/>
      <c r="E22" s="86"/>
      <c r="F22" s="86"/>
      <c r="G22" s="86"/>
    </row>
    <row r="24" customFormat="false" ht="24" hidden="false" customHeight="true" outlineLevel="0" collapsed="false">
      <c r="A24" s="78" t="s">
        <v>15</v>
      </c>
      <c r="B24" s="78"/>
      <c r="C24" s="78"/>
      <c r="D24" s="78"/>
      <c r="E24" s="78"/>
      <c r="F24" s="78"/>
      <c r="G24" s="78"/>
    </row>
    <row r="25" customFormat="false" ht="15" hidden="false" customHeight="true" outlineLevel="0" collapsed="false">
      <c r="A25" s="36" t="s">
        <v>196</v>
      </c>
      <c r="B25" s="79" t="s">
        <v>16</v>
      </c>
      <c r="C25" s="79"/>
      <c r="D25" s="79"/>
      <c r="E25" s="79"/>
      <c r="F25" s="79"/>
      <c r="G25" s="79"/>
    </row>
    <row r="26" customFormat="false" ht="15" hidden="false" customHeight="true" outlineLevel="0" collapsed="false">
      <c r="A26" s="36" t="s">
        <v>197</v>
      </c>
      <c r="B26" s="80" t="s">
        <v>209</v>
      </c>
      <c r="C26" s="80"/>
      <c r="D26" s="80"/>
      <c r="E26" s="80"/>
      <c r="F26" s="80"/>
      <c r="G26" s="80"/>
    </row>
    <row r="27" customFormat="false" ht="21.75" hidden="false" customHeight="true" outlineLevel="0" collapsed="false">
      <c r="A27" s="4" t="s">
        <v>49</v>
      </c>
      <c r="B27" s="4" t="s">
        <v>78</v>
      </c>
      <c r="C27" s="4" t="s">
        <v>79</v>
      </c>
      <c r="D27" s="4" t="s">
        <v>199</v>
      </c>
      <c r="E27" s="4" t="s">
        <v>200</v>
      </c>
      <c r="F27" s="4" t="s">
        <v>201</v>
      </c>
      <c r="G27" s="4" t="s">
        <v>202</v>
      </c>
    </row>
    <row r="28" customFormat="false" ht="15" hidden="false" customHeight="true" outlineLevel="0" collapsed="false">
      <c r="A28" s="22" t="s">
        <v>203</v>
      </c>
      <c r="B28" s="56" t="s">
        <v>86</v>
      </c>
      <c r="C28" s="81" t="str">
        <f aca="false">VLOOKUP(B28,단가표!$B$5:$G$26,3,FALSE())</f>
        <v>CPU (입력 14 / 출력 10)</v>
      </c>
      <c r="D28" s="22" t="n">
        <v>1</v>
      </c>
      <c r="E28" s="9" t="n">
        <f aca="false">VLOOKUP(B28,단가표!$B$5:$G$26,6,FALSE())</f>
        <v>392850</v>
      </c>
      <c r="F28" s="9" t="n">
        <f aca="false">D28*E28</f>
        <v>392850</v>
      </c>
      <c r="G28" s="82" t="n">
        <f aca="false">D28*VLOOKUP(B28,단가표!$B$5:$G$26,4,FALSE())</f>
        <v>873000</v>
      </c>
    </row>
    <row r="29" customFormat="false" ht="15" hidden="false" customHeight="false" outlineLevel="0" collapsed="false">
      <c r="A29" s="22"/>
      <c r="B29" s="56" t="s">
        <v>98</v>
      </c>
      <c r="C29" s="81" t="str">
        <f aca="false">VLOOKUP(B29,단가표!$B$5:$G$26,3,FALSE())</f>
        <v>아날로그 출력 2CH</v>
      </c>
      <c r="D29" s="22" t="n">
        <v>1</v>
      </c>
      <c r="E29" s="9" t="n">
        <f aca="false">VLOOKUP(B29,단가표!$B$5:$G$26,6,FALSE())</f>
        <v>138400</v>
      </c>
      <c r="F29" s="9" t="n">
        <f aca="false">D29*E29</f>
        <v>138400</v>
      </c>
      <c r="G29" s="82" t="n">
        <f aca="false">D29*VLOOKUP(B29,단가표!$B$5:$G$26,4,FALSE())</f>
        <v>346000</v>
      </c>
    </row>
    <row r="30" customFormat="false" ht="15" hidden="false" customHeight="false" outlineLevel="0" collapsed="false">
      <c r="A30" s="83" t="s">
        <v>204</v>
      </c>
      <c r="B30" s="83"/>
      <c r="C30" s="83"/>
      <c r="D30" s="83"/>
      <c r="E30" s="83"/>
      <c r="F30" s="61" t="n">
        <f aca="false">SUM(F28:F29)</f>
        <v>531250</v>
      </c>
      <c r="G30" s="84" t="n">
        <f aca="false">SUM(G28:G29)</f>
        <v>1219000</v>
      </c>
    </row>
    <row r="31" customFormat="false" ht="15" hidden="false" customHeight="true" outlineLevel="0" collapsed="false">
      <c r="A31" s="22" t="s">
        <v>59</v>
      </c>
      <c r="B31" s="56" t="s">
        <v>88</v>
      </c>
      <c r="C31" s="81" t="str">
        <f aca="false">VLOOKUP(B31,단가표!$B$5:$G$26,3,FALSE())</f>
        <v>CPU (입력 14 / 출력 10 = 릴레이 6 + TR 4)</v>
      </c>
      <c r="D31" s="22" t="n">
        <v>1</v>
      </c>
      <c r="E31" s="9" t="n">
        <f aca="false">VLOOKUP(B31,단가표!$B$5:$G$26,6,FALSE())</f>
        <v>384750</v>
      </c>
      <c r="F31" s="9" t="n">
        <f aca="false">D31*E31</f>
        <v>384750</v>
      </c>
      <c r="G31" s="82" t="n">
        <f aca="false">D31*VLOOKUP(B31,단가표!$B$5:$G$26,4,FALSE())</f>
        <v>855000</v>
      </c>
    </row>
    <row r="32" customFormat="false" ht="15" hidden="false" customHeight="false" outlineLevel="0" collapsed="false">
      <c r="A32" s="22"/>
      <c r="B32" s="56" t="s">
        <v>98</v>
      </c>
      <c r="C32" s="81" t="str">
        <f aca="false">VLOOKUP(B32,단가표!$B$5:$G$26,3,FALSE())</f>
        <v>아날로그 출력 2CH</v>
      </c>
      <c r="D32" s="22" t="n">
        <v>1</v>
      </c>
      <c r="E32" s="9" t="n">
        <f aca="false">VLOOKUP(B32,단가표!$B$5:$G$26,6,FALSE())</f>
        <v>138400</v>
      </c>
      <c r="F32" s="9" t="n">
        <f aca="false">D32*E32</f>
        <v>138400</v>
      </c>
      <c r="G32" s="82" t="n">
        <f aca="false">D32*VLOOKUP(B32,단가표!$B$5:$G$26,4,FALSE())</f>
        <v>346000</v>
      </c>
    </row>
    <row r="33" customFormat="false" ht="15" hidden="false" customHeight="false" outlineLevel="0" collapsed="false">
      <c r="A33" s="83" t="s">
        <v>205</v>
      </c>
      <c r="B33" s="83"/>
      <c r="C33" s="83"/>
      <c r="D33" s="83"/>
      <c r="E33" s="83"/>
      <c r="F33" s="61" t="n">
        <f aca="false">SUM(F31:F32)</f>
        <v>523150</v>
      </c>
      <c r="G33" s="84" t="n">
        <f aca="false">SUM(G31:G32)</f>
        <v>1201000</v>
      </c>
    </row>
    <row r="34" customFormat="false" ht="18" hidden="false" customHeight="true" outlineLevel="0" collapsed="false">
      <c r="A34" s="85" t="s">
        <v>210</v>
      </c>
      <c r="B34" s="85"/>
      <c r="C34" s="85"/>
      <c r="D34" s="85"/>
      <c r="E34" s="85"/>
      <c r="F34" s="85"/>
      <c r="G34" s="85"/>
    </row>
    <row r="36" customFormat="false" ht="24" hidden="false" customHeight="true" outlineLevel="0" collapsed="false">
      <c r="A36" s="78" t="s">
        <v>17</v>
      </c>
      <c r="B36" s="78"/>
      <c r="C36" s="78"/>
      <c r="D36" s="78"/>
      <c r="E36" s="78"/>
      <c r="F36" s="78"/>
      <c r="G36" s="78"/>
    </row>
    <row r="37" customFormat="false" ht="15" hidden="false" customHeight="true" outlineLevel="0" collapsed="false">
      <c r="A37" s="36" t="s">
        <v>196</v>
      </c>
      <c r="B37" s="79" t="s">
        <v>18</v>
      </c>
      <c r="C37" s="79"/>
      <c r="D37" s="79"/>
      <c r="E37" s="79"/>
      <c r="F37" s="79"/>
      <c r="G37" s="79"/>
    </row>
    <row r="38" customFormat="false" ht="15" hidden="false" customHeight="true" outlineLevel="0" collapsed="false">
      <c r="A38" s="36" t="s">
        <v>197</v>
      </c>
      <c r="B38" s="79" t="s">
        <v>211</v>
      </c>
      <c r="C38" s="79"/>
      <c r="D38" s="79"/>
      <c r="E38" s="79"/>
      <c r="F38" s="79"/>
      <c r="G38" s="79"/>
    </row>
    <row r="39" customFormat="false" ht="21.75" hidden="false" customHeight="true" outlineLevel="0" collapsed="false">
      <c r="A39" s="4" t="s">
        <v>49</v>
      </c>
      <c r="B39" s="4" t="s">
        <v>78</v>
      </c>
      <c r="C39" s="4" t="s">
        <v>79</v>
      </c>
      <c r="D39" s="4" t="s">
        <v>199</v>
      </c>
      <c r="E39" s="4" t="s">
        <v>200</v>
      </c>
      <c r="F39" s="4" t="s">
        <v>201</v>
      </c>
      <c r="G39" s="4" t="s">
        <v>202</v>
      </c>
    </row>
    <row r="40" customFormat="false" ht="26.85" hidden="false" customHeight="true" outlineLevel="0" collapsed="false">
      <c r="A40" s="22" t="s">
        <v>212</v>
      </c>
      <c r="B40" s="56" t="s">
        <v>91</v>
      </c>
      <c r="C40" s="81" t="str">
        <f aca="false">VLOOKUP(B40,단가표!$B$5:$G$26,3,FALSE())</f>
        <v>CPU + 이더넷 (입력 24 / 출력 16) — MCC, 견적에 없어 추정가</v>
      </c>
      <c r="D40" s="22" t="n">
        <v>1</v>
      </c>
      <c r="E40" s="9" t="n">
        <f aca="false">VLOOKUP(B40,단가표!$B$5:$G$26,6,FALSE())</f>
        <v>423450</v>
      </c>
      <c r="F40" s="9" t="n">
        <f aca="false">D40*E40</f>
        <v>423450</v>
      </c>
      <c r="G40" s="82" t="n">
        <f aca="false">D40*VLOOKUP(B40,단가표!$B$5:$G$26,4,FALSE())</f>
        <v>941000</v>
      </c>
    </row>
    <row r="41" customFormat="false" ht="15" hidden="false" customHeight="false" outlineLevel="0" collapsed="false">
      <c r="A41" s="22"/>
      <c r="B41" s="56" t="s">
        <v>93</v>
      </c>
      <c r="C41" s="81" t="str">
        <f aca="false">VLOOKUP(B41,단가표!$B$5:$G$26,3,FALSE())</f>
        <v>디지털 입력 16점</v>
      </c>
      <c r="D41" s="22" t="n">
        <v>5</v>
      </c>
      <c r="E41" s="9" t="n">
        <f aca="false">VLOOKUP(B41,단가표!$B$5:$G$26,6,FALSE())</f>
        <v>91200</v>
      </c>
      <c r="F41" s="9" t="n">
        <f aca="false">D41*E41</f>
        <v>456000</v>
      </c>
      <c r="G41" s="82" t="n">
        <f aca="false">D41*VLOOKUP(B41,단가표!$B$5:$G$26,4,FALSE())</f>
        <v>1140000</v>
      </c>
    </row>
    <row r="42" customFormat="false" ht="15" hidden="false" customHeight="false" outlineLevel="0" collapsed="false">
      <c r="A42" s="22"/>
      <c r="B42" s="56" t="s">
        <v>95</v>
      </c>
      <c r="C42" s="81" t="str">
        <f aca="false">VLOOKUP(B42,단가표!$B$5:$G$26,3,FALSE())</f>
        <v>트랜지스터 출력 16점</v>
      </c>
      <c r="D42" s="22" t="n">
        <v>2</v>
      </c>
      <c r="E42" s="9" t="n">
        <f aca="false">VLOOKUP(B42,단가표!$B$5:$G$26,6,FALSE())</f>
        <v>90800</v>
      </c>
      <c r="F42" s="9" t="n">
        <f aca="false">D42*E42</f>
        <v>181600</v>
      </c>
      <c r="G42" s="82" t="n">
        <f aca="false">D42*VLOOKUP(B42,단가표!$B$5:$G$26,4,FALSE())</f>
        <v>454000</v>
      </c>
    </row>
    <row r="43" customFormat="false" ht="15" hidden="false" customHeight="false" outlineLevel="0" collapsed="false">
      <c r="A43" s="22"/>
      <c r="B43" s="56" t="s">
        <v>97</v>
      </c>
      <c r="C43" s="81" t="str">
        <f aca="false">VLOOKUP(B43,단가표!$B$5:$G$26,3,FALSE())</f>
        <v>트랜지스터 출력 8점</v>
      </c>
      <c r="D43" s="22" t="n">
        <v>1</v>
      </c>
      <c r="E43" s="9" t="n">
        <f aca="false">VLOOKUP(B43,단가표!$B$5:$G$26,6,FALSE())</f>
        <v>67200</v>
      </c>
      <c r="F43" s="9" t="n">
        <f aca="false">D43*E43</f>
        <v>67200</v>
      </c>
      <c r="G43" s="82" t="n">
        <f aca="false">D43*VLOOKUP(B43,단가표!$B$5:$G$26,4,FALSE())</f>
        <v>168000</v>
      </c>
    </row>
    <row r="44" customFormat="false" ht="15" hidden="false" customHeight="false" outlineLevel="0" collapsed="false">
      <c r="A44" s="22"/>
      <c r="B44" s="56" t="s">
        <v>99</v>
      </c>
      <c r="C44" s="81" t="str">
        <f aca="false">VLOOKUP(B44,단가표!$B$5:$G$26,3,FALSE())</f>
        <v>아날로그 출력 4CH</v>
      </c>
      <c r="D44" s="22" t="n">
        <v>1</v>
      </c>
      <c r="E44" s="9" t="n">
        <f aca="false">VLOOKUP(B44,단가표!$B$5:$G$26,6,FALSE())</f>
        <v>140400</v>
      </c>
      <c r="F44" s="9" t="n">
        <f aca="false">D44*E44</f>
        <v>140400</v>
      </c>
      <c r="G44" s="82" t="n">
        <f aca="false">D44*VLOOKUP(B44,단가표!$B$5:$G$26,4,FALSE())</f>
        <v>351000</v>
      </c>
    </row>
    <row r="45" customFormat="false" ht="15" hidden="false" customHeight="false" outlineLevel="0" collapsed="false">
      <c r="A45" s="22"/>
      <c r="B45" s="56" t="s">
        <v>100</v>
      </c>
      <c r="C45" s="81" t="str">
        <f aca="false">VLOOKUP(B45,단가표!$B$5:$G$26,3,FALSE())</f>
        <v>TM3 버스 확장 송신 (MCC)</v>
      </c>
      <c r="D45" s="22" t="n">
        <v>1</v>
      </c>
      <c r="E45" s="9" t="n">
        <f aca="false">VLOOKUP(B45,단가표!$B$5:$G$26,6,FALSE())</f>
        <v>0</v>
      </c>
      <c r="F45" s="9" t="n">
        <f aca="false">D45*E45</f>
        <v>0</v>
      </c>
      <c r="G45" s="82" t="n">
        <f aca="false">D45*VLOOKUP(B45,단가표!$B$5:$G$26,4,FALSE())</f>
        <v>0</v>
      </c>
    </row>
    <row r="46" customFormat="false" ht="15" hidden="false" customHeight="false" outlineLevel="0" collapsed="false">
      <c r="A46" s="22"/>
      <c r="B46" s="56" t="s">
        <v>102</v>
      </c>
      <c r="C46" s="81" t="str">
        <f aca="false">VLOOKUP(B46,단가표!$B$5:$G$26,3,FALSE())</f>
        <v>TM3 버스 확장 수신 (MCC)</v>
      </c>
      <c r="D46" s="22" t="n">
        <v>1</v>
      </c>
      <c r="E46" s="9" t="n">
        <f aca="false">VLOOKUP(B46,단가표!$B$5:$G$26,6,FALSE())</f>
        <v>0</v>
      </c>
      <c r="F46" s="9" t="n">
        <f aca="false">D46*E46</f>
        <v>0</v>
      </c>
      <c r="G46" s="82" t="n">
        <f aca="false">D46*VLOOKUP(B46,단가표!$B$5:$G$26,4,FALSE())</f>
        <v>0</v>
      </c>
    </row>
    <row r="47" customFormat="false" ht="15" hidden="false" customHeight="false" outlineLevel="0" collapsed="false">
      <c r="A47" s="83" t="s">
        <v>204</v>
      </c>
      <c r="B47" s="83"/>
      <c r="C47" s="83"/>
      <c r="D47" s="83"/>
      <c r="E47" s="83"/>
      <c r="F47" s="61" t="n">
        <f aca="false">SUM(F40:F46)</f>
        <v>1268650</v>
      </c>
      <c r="G47" s="84" t="n">
        <f aca="false">SUM(G40:G46)</f>
        <v>3054000</v>
      </c>
    </row>
    <row r="48" customFormat="false" ht="30" hidden="false" customHeight="true" outlineLevel="0" collapsed="false">
      <c r="A48" s="86" t="s">
        <v>213</v>
      </c>
      <c r="B48" s="86"/>
      <c r="C48" s="86"/>
      <c r="D48" s="86"/>
      <c r="E48" s="86"/>
      <c r="F48" s="86"/>
      <c r="G48" s="86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6"/>
    <mergeCell ref="A47:E47"/>
    <mergeCell ref="A48:G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35" t="s">
        <v>214</v>
      </c>
    </row>
    <row r="3" customFormat="false" ht="15" hidden="false" customHeight="false" outlineLevel="0" collapsed="false">
      <c r="A3" s="36" t="s">
        <v>215</v>
      </c>
      <c r="B3" s="87" t="n">
        <v>0.45</v>
      </c>
    </row>
    <row r="4" customFormat="false" ht="15" hidden="false" customHeight="false" outlineLevel="0" collapsed="false">
      <c r="A4" s="36" t="s">
        <v>216</v>
      </c>
      <c r="B4" s="87" t="n">
        <v>0.4</v>
      </c>
      <c r="C4" s="2" t="s">
        <v>217</v>
      </c>
    </row>
    <row r="6" customFormat="false" ht="33.75" hidden="false" customHeight="true" outlineLevel="0" collapsed="false">
      <c r="A6" s="5" t="s">
        <v>218</v>
      </c>
      <c r="B6" s="4" t="s">
        <v>49</v>
      </c>
      <c r="C6" s="4" t="s">
        <v>219</v>
      </c>
      <c r="D6" s="4" t="s">
        <v>220</v>
      </c>
      <c r="E6" s="4" t="s">
        <v>221</v>
      </c>
      <c r="F6" s="5" t="s">
        <v>222</v>
      </c>
      <c r="G6" s="4" t="s">
        <v>50</v>
      </c>
      <c r="H6" s="4" t="s">
        <v>223</v>
      </c>
    </row>
    <row r="7" customFormat="false" ht="15" hidden="false" customHeight="false" outlineLevel="0" collapsed="false">
      <c r="A7" s="56" t="s">
        <v>86</v>
      </c>
      <c r="B7" s="22" t="s">
        <v>224</v>
      </c>
      <c r="C7" s="9" t="n">
        <f aca="false">VLOOKUP(A7,단가표!$B$5:$G$26,4,FALSE())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44" t="n">
        <f aca="false">D7-E7</f>
        <v>43650</v>
      </c>
      <c r="G7" s="39" t="n">
        <f aca="false">요약!C6+요약!C8</f>
        <v>250</v>
      </c>
      <c r="H7" s="10" t="n">
        <f aca="false">F7*G7</f>
        <v>10912500</v>
      </c>
      <c r="I7" s="88" t="s">
        <v>225</v>
      </c>
    </row>
    <row r="8" customFormat="false" ht="15" hidden="false" customHeight="false" outlineLevel="0" collapsed="false">
      <c r="A8" s="56" t="s">
        <v>89</v>
      </c>
      <c r="B8" s="22" t="s">
        <v>224</v>
      </c>
      <c r="C8" s="9" t="n">
        <f aca="false">VLOOKUP(A8,단가표!$B$5:$G$26,4,FALSE())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44" t="n">
        <f aca="false">D8-E8</f>
        <v>46400</v>
      </c>
      <c r="G8" s="39" t="n">
        <f aca="false">요약!C7</f>
        <v>300</v>
      </c>
      <c r="H8" s="10" t="n">
        <f aca="false">F8*G8</f>
        <v>13920000</v>
      </c>
      <c r="I8" s="88" t="s">
        <v>226</v>
      </c>
    </row>
    <row r="9" customFormat="false" ht="15" hidden="false" customHeight="false" outlineLevel="0" collapsed="false">
      <c r="A9" s="56" t="s">
        <v>91</v>
      </c>
      <c r="B9" s="22" t="s">
        <v>224</v>
      </c>
      <c r="C9" s="9" t="n">
        <f aca="false">VLOOKUP(A9,단가표!$B$5:$G$26,4,FALSE())</f>
        <v>941000</v>
      </c>
      <c r="D9" s="9" t="n">
        <f aca="false">ROUND(C9*$B$3,0)</f>
        <v>423450</v>
      </c>
      <c r="E9" s="9" t="n">
        <f aca="false">ROUND(C9*$B$4,0)</f>
        <v>376400</v>
      </c>
      <c r="F9" s="44" t="n">
        <f aca="false">D9-E9</f>
        <v>47050</v>
      </c>
      <c r="G9" s="39" t="n">
        <f aca="false">요약!C9</f>
        <v>100</v>
      </c>
      <c r="H9" s="10" t="n">
        <f aca="false">F9*G9</f>
        <v>4705000</v>
      </c>
      <c r="I9" s="88" t="s">
        <v>227</v>
      </c>
    </row>
    <row r="10" customFormat="false" ht="15" hidden="false" customHeight="false" outlineLevel="0" collapsed="false">
      <c r="A10" s="56" t="s">
        <v>88</v>
      </c>
      <c r="B10" s="22" t="s">
        <v>228</v>
      </c>
      <c r="C10" s="9" t="n">
        <f aca="false">VLOOKUP(A10,단가표!$B$5:$G$26,4,FALSE())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44" t="n">
        <f aca="false">D10-E10</f>
        <v>42750</v>
      </c>
      <c r="G10" s="39" t="n">
        <f aca="false">요약!C6+요약!C8</f>
        <v>250</v>
      </c>
      <c r="H10" s="10" t="n">
        <f aca="false">F10*G10</f>
        <v>10687500</v>
      </c>
      <c r="I10" s="88" t="s">
        <v>229</v>
      </c>
    </row>
    <row r="11" customFormat="false" ht="15" hidden="false" customHeight="false" outlineLevel="0" collapsed="false">
      <c r="A11" s="56" t="s">
        <v>90</v>
      </c>
      <c r="B11" s="22" t="s">
        <v>228</v>
      </c>
      <c r="C11" s="9" t="n">
        <f aca="false">VLOOKUP(A11,단가표!$B$5:$G$26,4,FALSE())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44" t="n">
        <f aca="false">D11-E11</f>
        <v>45150</v>
      </c>
      <c r="G11" s="39" t="n">
        <f aca="false">요약!C7</f>
        <v>300</v>
      </c>
      <c r="H11" s="10" t="n">
        <f aca="false">F11*G11</f>
        <v>13545000</v>
      </c>
      <c r="I11" s="88" t="s">
        <v>230</v>
      </c>
    </row>
    <row r="13" customFormat="false" ht="24" hidden="false" customHeight="true" outlineLevel="0" collapsed="false">
      <c r="A13" s="49" t="s">
        <v>231</v>
      </c>
      <c r="B13" s="49"/>
      <c r="C13" s="49"/>
      <c r="D13" s="49"/>
      <c r="E13" s="49"/>
      <c r="F13" s="49"/>
      <c r="G13" s="49"/>
      <c r="H13" s="16" t="n">
        <f aca="false">H7+H8+H9</f>
        <v>29537500</v>
      </c>
    </row>
    <row r="14" customFormat="false" ht="24" hidden="false" customHeight="true" outlineLevel="0" collapsed="false">
      <c r="A14" s="49" t="s">
        <v>232</v>
      </c>
      <c r="B14" s="49"/>
      <c r="C14" s="49"/>
      <c r="D14" s="49"/>
      <c r="E14" s="49"/>
      <c r="F14" s="49"/>
      <c r="G14" s="49"/>
      <c r="H14" s="16" t="n">
        <f aca="false">H9+H10+H11</f>
        <v>28937500</v>
      </c>
    </row>
    <row r="16" customFormat="false" ht="15" hidden="false" customHeight="false" outlineLevel="0" collapsed="false">
      <c r="A16" s="53" t="s">
        <v>233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55" t="s">
        <v>234</v>
      </c>
    </row>
    <row r="2" customFormat="false" ht="15" hidden="false" customHeight="false" outlineLevel="0" collapsed="false">
      <c r="A2" s="2" t="s">
        <v>235</v>
      </c>
    </row>
    <row r="4" customFormat="false" ht="30" hidden="false" customHeight="true" outlineLevel="0" collapsed="false">
      <c r="A4" s="5" t="s">
        <v>110</v>
      </c>
      <c r="B4" s="4" t="s">
        <v>78</v>
      </c>
      <c r="C4" s="4" t="s">
        <v>49</v>
      </c>
      <c r="D4" s="4" t="s">
        <v>79</v>
      </c>
      <c r="E4" s="4" t="s">
        <v>219</v>
      </c>
      <c r="F4" s="4" t="s">
        <v>236</v>
      </c>
      <c r="G4" s="4" t="s">
        <v>200</v>
      </c>
    </row>
    <row r="5" customFormat="false" ht="15" hidden="false" customHeight="false" outlineLevel="0" collapsed="false">
      <c r="A5" s="22" t="n">
        <v>1</v>
      </c>
      <c r="B5" s="56" t="s">
        <v>237</v>
      </c>
      <c r="C5" s="22" t="s">
        <v>224</v>
      </c>
      <c r="D5" s="89" t="s">
        <v>238</v>
      </c>
      <c r="E5" s="9" t="n">
        <v>886000</v>
      </c>
      <c r="F5" s="90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22" t="n">
        <v>2</v>
      </c>
      <c r="B6" s="56" t="s">
        <v>86</v>
      </c>
      <c r="C6" s="22" t="s">
        <v>224</v>
      </c>
      <c r="D6" s="89" t="s">
        <v>239</v>
      </c>
      <c r="E6" s="9" t="n">
        <v>873000</v>
      </c>
      <c r="F6" s="90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22" t="n">
        <v>3</v>
      </c>
      <c r="B7" s="56" t="s">
        <v>88</v>
      </c>
      <c r="C7" s="22" t="s">
        <v>228</v>
      </c>
      <c r="D7" s="89" t="s">
        <v>240</v>
      </c>
      <c r="E7" s="9" t="n">
        <v>855000</v>
      </c>
      <c r="F7" s="90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22" t="n">
        <v>4</v>
      </c>
      <c r="B8" s="56" t="s">
        <v>89</v>
      </c>
      <c r="C8" s="22" t="s">
        <v>224</v>
      </c>
      <c r="D8" s="89" t="s">
        <v>241</v>
      </c>
      <c r="E8" s="9" t="n">
        <v>928000</v>
      </c>
      <c r="F8" s="90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22" t="n">
        <v>5</v>
      </c>
      <c r="B9" s="56" t="s">
        <v>90</v>
      </c>
      <c r="C9" s="22" t="s">
        <v>228</v>
      </c>
      <c r="D9" s="89" t="s">
        <v>242</v>
      </c>
      <c r="E9" s="9" t="n">
        <v>903000</v>
      </c>
      <c r="F9" s="90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22" t="n">
        <v>6</v>
      </c>
      <c r="B10" s="56" t="s">
        <v>93</v>
      </c>
      <c r="C10" s="22" t="s">
        <v>33</v>
      </c>
      <c r="D10" s="91" t="s">
        <v>243</v>
      </c>
      <c r="E10" s="9" t="n">
        <v>228000</v>
      </c>
      <c r="F10" s="90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22" t="n">
        <v>7</v>
      </c>
      <c r="B11" s="56" t="s">
        <v>244</v>
      </c>
      <c r="C11" s="22" t="s">
        <v>33</v>
      </c>
      <c r="D11" s="91" t="s">
        <v>245</v>
      </c>
      <c r="E11" s="9" t="n">
        <v>202000</v>
      </c>
      <c r="F11" s="90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22" t="n">
        <v>8</v>
      </c>
      <c r="B12" s="56" t="s">
        <v>246</v>
      </c>
      <c r="C12" s="22" t="s">
        <v>33</v>
      </c>
      <c r="D12" s="91" t="s">
        <v>247</v>
      </c>
      <c r="E12" s="9" t="n">
        <v>227000</v>
      </c>
      <c r="F12" s="90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22" t="n">
        <v>9</v>
      </c>
      <c r="B13" s="56" t="s">
        <v>95</v>
      </c>
      <c r="C13" s="22" t="s">
        <v>33</v>
      </c>
      <c r="D13" s="91" t="s">
        <v>248</v>
      </c>
      <c r="E13" s="9" t="n">
        <v>227000</v>
      </c>
      <c r="F13" s="90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22" t="n">
        <v>10</v>
      </c>
      <c r="B14" s="56" t="s">
        <v>249</v>
      </c>
      <c r="C14" s="22" t="s">
        <v>33</v>
      </c>
      <c r="D14" s="91" t="s">
        <v>250</v>
      </c>
      <c r="E14" s="9" t="n">
        <v>213000</v>
      </c>
      <c r="F14" s="90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22" t="n">
        <v>11</v>
      </c>
      <c r="B15" s="56" t="s">
        <v>251</v>
      </c>
      <c r="C15" s="22" t="s">
        <v>33</v>
      </c>
      <c r="D15" s="91" t="s">
        <v>252</v>
      </c>
      <c r="E15" s="9" t="n">
        <v>161000</v>
      </c>
      <c r="F15" s="90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22" t="n">
        <v>12</v>
      </c>
      <c r="B16" s="56" t="s">
        <v>97</v>
      </c>
      <c r="C16" s="22" t="s">
        <v>33</v>
      </c>
      <c r="D16" s="91" t="s">
        <v>253</v>
      </c>
      <c r="E16" s="9" t="n">
        <v>168000</v>
      </c>
      <c r="F16" s="90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22" t="n">
        <v>13</v>
      </c>
      <c r="B17" s="56" t="s">
        <v>254</v>
      </c>
      <c r="C17" s="22" t="s">
        <v>33</v>
      </c>
      <c r="D17" s="91" t="s">
        <v>255</v>
      </c>
      <c r="E17" s="9" t="n">
        <v>168000</v>
      </c>
      <c r="F17" s="90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22" t="n">
        <v>14</v>
      </c>
      <c r="B18" s="56" t="s">
        <v>256</v>
      </c>
      <c r="C18" s="22" t="s">
        <v>33</v>
      </c>
      <c r="D18" s="91" t="s">
        <v>257</v>
      </c>
      <c r="E18" s="9" t="n">
        <v>311000</v>
      </c>
      <c r="F18" s="90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22" t="n">
        <v>15</v>
      </c>
      <c r="B19" s="56" t="s">
        <v>258</v>
      </c>
      <c r="C19" s="22" t="s">
        <v>33</v>
      </c>
      <c r="D19" s="91" t="s">
        <v>259</v>
      </c>
      <c r="E19" s="9" t="n">
        <v>284000</v>
      </c>
      <c r="F19" s="90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22" t="n">
        <v>16</v>
      </c>
      <c r="B20" s="56" t="s">
        <v>260</v>
      </c>
      <c r="C20" s="22" t="s">
        <v>33</v>
      </c>
      <c r="D20" s="91" t="s">
        <v>261</v>
      </c>
      <c r="E20" s="9" t="n">
        <v>331000</v>
      </c>
      <c r="F20" s="90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22" t="n">
        <v>17</v>
      </c>
      <c r="B21" s="56" t="s">
        <v>98</v>
      </c>
      <c r="C21" s="22" t="s">
        <v>33</v>
      </c>
      <c r="D21" s="91" t="s">
        <v>262</v>
      </c>
      <c r="E21" s="9" t="n">
        <v>346000</v>
      </c>
      <c r="F21" s="90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22" t="n">
        <v>18</v>
      </c>
      <c r="B22" s="56" t="s">
        <v>99</v>
      </c>
      <c r="C22" s="22" t="s">
        <v>33</v>
      </c>
      <c r="D22" s="91" t="s">
        <v>263</v>
      </c>
      <c r="E22" s="9" t="n">
        <v>351000</v>
      </c>
      <c r="F22" s="90" t="n">
        <v>0.4</v>
      </c>
      <c r="G22" s="10" t="n">
        <f aca="false">ROUND(E22*F22,0)</f>
        <v>140400</v>
      </c>
    </row>
    <row r="23" customFormat="false" ht="15" hidden="false" customHeight="true" outlineLevel="0" collapsed="false">
      <c r="A23" s="92" t="s">
        <v>264</v>
      </c>
      <c r="B23" s="92"/>
      <c r="C23" s="92"/>
      <c r="D23" s="92"/>
      <c r="E23" s="92"/>
      <c r="F23" s="92"/>
      <c r="G23" s="92"/>
    </row>
    <row r="24" customFormat="false" ht="15" hidden="false" customHeight="false" outlineLevel="0" collapsed="false">
      <c r="A24" s="22" t="s">
        <v>33</v>
      </c>
      <c r="B24" s="56" t="s">
        <v>91</v>
      </c>
      <c r="C24" s="22" t="s">
        <v>224</v>
      </c>
      <c r="D24" s="93" t="s">
        <v>265</v>
      </c>
      <c r="E24" s="94" t="n">
        <v>941000</v>
      </c>
      <c r="F24" s="95" t="n">
        <v>0.45</v>
      </c>
      <c r="G24" s="10" t="n">
        <f aca="false">IF(E24="",0,ROUND(E24*F24,0))</f>
        <v>423450</v>
      </c>
    </row>
    <row r="25" customFormat="false" ht="15" hidden="false" customHeight="false" outlineLevel="0" collapsed="false">
      <c r="A25" s="22" t="s">
        <v>33</v>
      </c>
      <c r="B25" s="56" t="s">
        <v>100</v>
      </c>
      <c r="C25" s="22" t="s">
        <v>33</v>
      </c>
      <c r="D25" s="93" t="s">
        <v>266</v>
      </c>
      <c r="E25" s="94"/>
      <c r="F25" s="95" t="n">
        <v>0.4</v>
      </c>
      <c r="G25" s="10" t="n">
        <f aca="false">IF(E25="",0,ROUND(E25*F25,0))</f>
        <v>0</v>
      </c>
    </row>
    <row r="26" customFormat="false" ht="15" hidden="false" customHeight="false" outlineLevel="0" collapsed="false">
      <c r="A26" s="22" t="s">
        <v>33</v>
      </c>
      <c r="B26" s="56" t="s">
        <v>102</v>
      </c>
      <c r="C26" s="22" t="s">
        <v>33</v>
      </c>
      <c r="D26" s="93" t="s">
        <v>267</v>
      </c>
      <c r="E26" s="94"/>
      <c r="F26" s="95" t="n">
        <v>0.4</v>
      </c>
      <c r="G26" s="10" t="n">
        <f aca="false">IF(E26="",0,ROUND(E26*F26,0))</f>
        <v>0</v>
      </c>
    </row>
    <row r="28" customFormat="false" ht="15" hidden="false" customHeight="false" outlineLevel="0" collapsed="false">
      <c r="A28" s="17" t="s">
        <v>268</v>
      </c>
    </row>
  </sheetData>
  <mergeCells count="1"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2026-10-06T01:13:29Z</dcterms:created>
  <dc:creator>openpyxl</dc:creator>
  <dc:description/>
  <dc:language>en-US</dc:language>
  <cp:lastModifiedBy/>
  <dcterms:modified xsi:type="dcterms:W3CDTF">2026-10-06T01:13:29Z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