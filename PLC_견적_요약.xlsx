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요약" sheetId="1" state="visible" r:id="rId3"/>
    <sheet name="마진 계산" sheetId="2" state="visible" r:id="rId4"/>
    <sheet name="프로젝트별 구성" sheetId="3" state="visible" r:id="rId5"/>
    <sheet name="연간 BOM" sheetId="4" state="visible" r:id="rId6"/>
    <sheet name="CPU 할인 효과" sheetId="5" state="visible" r:id="rId7"/>
    <sheet name="단가표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<sst xmlns="http://schemas.openxmlformats.org/spreadsheetml/2006/main" count="338" uniqueCount="174">
  <si>
    <r>
      <rPr>
        <b val="true"/>
        <sz val="16"/>
        <color rgb="FF1F3864"/>
        <rFont val="맑은 고딕"/>
        <family val="3"/>
        <charset val="129"/>
      </rPr>
      <t xml:space="preserve">PLC </t>
    </r>
    <r>
      <rPr>
        <b val="true"/>
        <sz val="16"/>
        <color rgb="FF1F3864"/>
        <rFont val="WenQuanYi Zen Hei"/>
        <family val="2"/>
      </rPr>
      <t xml:space="preserve">교체 견적 — 최종  </t>
    </r>
    <r>
      <rPr>
        <b val="true"/>
        <sz val="16"/>
        <color rgb="FF1F3864"/>
        <rFont val="맑은 고딕"/>
        <family val="3"/>
        <charset val="129"/>
      </rPr>
      <t xml:space="preserve">(ABB → Schneider M241)</t>
    </r>
  </si>
  <si>
    <t xml:space="preserve">기준: Techross RFQ 'PLC 사양서 R3.1' + 기존 사양 (MCC는 현행 유지 점수, 출력 Relay·TR 무관)  ·  매입가 = Schneider 협의 할인율 (CPU 0.40 / 모듈 0.35)  ·  단위: 원  ·  2026-10-06</t>
  </si>
  <si>
    <t xml:space="preserve">노란 칸</t>
  </si>
  <si>
    <t xml:space="preserve">← 바꿔도 되는 값 (바꾸면 금액이 자동으로 다시 계산됩니다)</t>
  </si>
  <si>
    <t xml:space="preserve">프로젝트</t>
  </si>
  <si>
    <t xml:space="preserve">기존 PLC (ABB)</t>
  </si>
  <si>
    <t xml:space="preserve">연간 구매수량
(대)</t>
  </si>
  <si>
    <r>
      <rPr>
        <b val="true"/>
        <sz val="10"/>
        <color rgb="FFFFFFFF"/>
        <rFont val="맑은 고딕"/>
        <family val="3"/>
        <charset val="129"/>
      </rPr>
      <t xml:space="preserve">1</t>
    </r>
    <r>
      <rPr>
        <b val="true"/>
        <sz val="10"/>
        <color rgb="FFFFFFFF"/>
        <rFont val="WenQuanYi Zen Hei"/>
        <family val="2"/>
      </rPr>
      <t xml:space="preserve">대 가격
</t>
    </r>
    <r>
      <rPr>
        <b val="true"/>
        <sz val="10"/>
        <color rgb="FFFFFFFF"/>
        <rFont val="맑은 고딕"/>
        <family val="3"/>
        <charset val="129"/>
      </rPr>
      <t xml:space="preserve">DC24V (</t>
    </r>
    <r>
      <rPr>
        <b val="true"/>
        <sz val="10"/>
        <color rgb="FFFFFFFF"/>
        <rFont val="WenQuanYi Zen Hei"/>
        <family val="2"/>
      </rPr>
      <t xml:space="preserve">권장</t>
    </r>
    <r>
      <rPr>
        <b val="true"/>
        <sz val="10"/>
        <color rgb="FFFFFFFF"/>
        <rFont val="맑은 고딕"/>
        <family val="3"/>
        <charset val="129"/>
      </rPr>
      <t xml:space="preserve">)</t>
    </r>
  </si>
  <si>
    <r>
      <rPr>
        <b val="true"/>
        <sz val="10"/>
        <color rgb="FFFFFFFF"/>
        <rFont val="맑은 고딕"/>
        <family val="3"/>
        <charset val="129"/>
      </rPr>
      <t xml:space="preserve">1</t>
    </r>
    <r>
      <rPr>
        <b val="true"/>
        <sz val="10"/>
        <color rgb="FFFFFFFF"/>
        <rFont val="WenQuanYi Zen Hei"/>
        <family val="2"/>
      </rPr>
      <t xml:space="preserve">대 가격
</t>
    </r>
    <r>
      <rPr>
        <b val="true"/>
        <sz val="10"/>
        <color rgb="FFFFFFFF"/>
        <rFont val="맑은 고딕"/>
        <family val="3"/>
        <charset val="129"/>
      </rPr>
      <t xml:space="preserve">AC220V</t>
    </r>
  </si>
  <si>
    <t xml:space="preserve">연간 금액
DC24V (권장)</t>
  </si>
  <si>
    <t xml:space="preserve">연간 금액
AC220V</t>
  </si>
  <si>
    <t xml:space="preserve">TSU</t>
  </si>
  <si>
    <t xml:space="preserve">ABB PM554-RP + DO571</t>
  </si>
  <si>
    <t xml:space="preserve">ANU</t>
  </si>
  <si>
    <t xml:space="preserve">ABB PM554-RP + DO571 + AO561</t>
  </si>
  <si>
    <t xml:space="preserve">ANU-S</t>
  </si>
  <si>
    <t xml:space="preserve">ABB PM564-RP</t>
  </si>
  <si>
    <t xml:space="preserve">MCC</t>
  </si>
  <si>
    <t xml:space="preserve">ABB PM564-RP-ETH + DI562×6 + DO573×3 + AO561×2</t>
  </si>
  <si>
    <r>
      <rPr>
        <sz val="9"/>
        <color rgb="FF7F7F7F"/>
        <rFont val="맑은 고딕"/>
        <family val="3"/>
        <charset val="129"/>
      </rPr>
      <t xml:space="preserve">DC24V</t>
    </r>
    <r>
      <rPr>
        <sz val="9"/>
        <color rgb="FF7F7F7F"/>
        <rFont val="WenQuanYi Zen Hei"/>
        <family val="2"/>
      </rPr>
      <t xml:space="preserve">만 가능</t>
    </r>
  </si>
  <si>
    <t xml:space="preserve">합계</t>
  </si>
  <si>
    <r>
      <rPr>
        <sz val="8"/>
        <color rgb="FF7F7F7F"/>
        <rFont val="맑은 고딕"/>
        <family val="3"/>
        <charset val="129"/>
      </rPr>
      <t xml:space="preserve">※ AC220V </t>
    </r>
    <r>
      <rPr>
        <sz val="8"/>
        <color rgb="FF7F7F7F"/>
        <rFont val="WenQuanYi Zen Hei"/>
        <family val="2"/>
      </rPr>
      <t xml:space="preserve">연간 금액 합계에는 </t>
    </r>
    <r>
      <rPr>
        <sz val="8"/>
        <color rgb="FF7F7F7F"/>
        <rFont val="맑은 고딕"/>
        <family val="3"/>
        <charset val="129"/>
      </rPr>
      <t xml:space="preserve">MCC</t>
    </r>
    <r>
      <rPr>
        <sz val="8"/>
        <color rgb="FF7F7F7F"/>
        <rFont val="WenQuanYi Zen Hei"/>
        <family val="2"/>
      </rPr>
      <t xml:space="preserve">를 </t>
    </r>
    <r>
      <rPr>
        <sz val="8"/>
        <color rgb="FF7F7F7F"/>
        <rFont val="맑은 고딕"/>
        <family val="3"/>
        <charset val="129"/>
      </rPr>
      <t xml:space="preserve">DC24V </t>
    </r>
    <r>
      <rPr>
        <sz val="8"/>
        <color rgb="FF7F7F7F"/>
        <rFont val="WenQuanYi Zen Hei"/>
        <family val="2"/>
      </rPr>
      <t xml:space="preserve">가격으로 넣었습니다 </t>
    </r>
    <r>
      <rPr>
        <sz val="8"/>
        <color rgb="FF7F7F7F"/>
        <rFont val="맑은 고딕"/>
        <family val="3"/>
        <charset val="129"/>
      </rPr>
      <t xml:space="preserve">(MCC</t>
    </r>
    <r>
      <rPr>
        <sz val="8"/>
        <color rgb="FF7F7F7F"/>
        <rFont val="WenQuanYi Zen Hei"/>
        <family val="2"/>
      </rPr>
      <t xml:space="preserve">는 </t>
    </r>
    <r>
      <rPr>
        <sz val="8"/>
        <color rgb="FF7F7F7F"/>
        <rFont val="맑은 고딕"/>
        <family val="3"/>
        <charset val="129"/>
      </rPr>
      <t xml:space="preserve">DC24V</t>
    </r>
    <r>
      <rPr>
        <sz val="8"/>
        <color rgb="FF7F7F7F"/>
        <rFont val="WenQuanYi Zen Hei"/>
        <family val="2"/>
      </rPr>
      <t xml:space="preserve">만 가능</t>
    </r>
    <r>
      <rPr>
        <sz val="8"/>
        <color rgb="FF7F7F7F"/>
        <rFont val="맑은 고딕"/>
        <family val="3"/>
        <charset val="129"/>
      </rPr>
      <t xml:space="preserve">).</t>
    </r>
  </si>
  <si>
    <t xml:space="preserve">프로젝트별 최종 구성</t>
  </si>
  <si>
    <r>
      <rPr>
        <b val="true"/>
        <sz val="10"/>
        <color rgb="FFFFFFFF"/>
        <rFont val="맑은 고딕"/>
        <family val="3"/>
        <charset val="129"/>
      </rPr>
      <t xml:space="preserve">DC24V (</t>
    </r>
    <r>
      <rPr>
        <b val="true"/>
        <sz val="10"/>
        <color rgb="FFFFFFFF"/>
        <rFont val="WenQuanYi Zen Hei"/>
        <family val="2"/>
      </rPr>
      <t xml:space="preserve">권장</t>
    </r>
    <r>
      <rPr>
        <b val="true"/>
        <sz val="10"/>
        <color rgb="FFFFFFFF"/>
        <rFont val="맑은 고딕"/>
        <family val="3"/>
        <charset val="129"/>
      </rPr>
      <t xml:space="preserve">)</t>
    </r>
  </si>
  <si>
    <t xml:space="preserve">AC220V</t>
  </si>
  <si>
    <t xml:space="preserve">제공 점수</t>
  </si>
  <si>
    <t xml:space="preserve">TM241C24T</t>
  </si>
  <si>
    <t xml:space="preserve">TM241C24R</t>
  </si>
  <si>
    <t xml:space="preserve">입력 14 / 출력 10 / Serial 2CH</t>
  </si>
  <si>
    <t xml:space="preserve">TM241C40T</t>
  </si>
  <si>
    <t xml:space="preserve">TM241C40R</t>
  </si>
  <si>
    <t xml:space="preserve">입력 24 / 출력 16 / Serial 2CH</t>
  </si>
  <si>
    <t xml:space="preserve">TM241C24T + TM3AQ2</t>
  </si>
  <si>
    <t xml:space="preserve">TM241C24R + TM3AQ2</t>
  </si>
  <si>
    <t xml:space="preserve">입력 14 / 출력 10 / AO 2 / Serial 2CH</t>
  </si>
  <si>
    <t xml:space="preserve">TM241CE40T + TM3DI16×5 + TM3DQ16T×2
+ TM3DQ8T + TM3AQ4 + TM3XTRA1·XREC1</t>
  </si>
  <si>
    <r>
      <rPr>
        <sz val="9"/>
        <color rgb="FF7F7F7F"/>
        <rFont val="맑은 고딕"/>
        <family val="3"/>
        <charset val="129"/>
      </rPr>
      <t xml:space="preserve">DC24V</t>
    </r>
    <r>
      <rPr>
        <sz val="9"/>
        <color rgb="FF7F7F7F"/>
        <rFont val="WenQuanYi Zen Hei"/>
        <family val="2"/>
      </rPr>
      <t xml:space="preserve">만</t>
    </r>
  </si>
  <si>
    <t xml:space="preserve">입력 104 / 출력 56 / AO 4
Serial 2CH + 이더넷</t>
  </si>
  <si>
    <t xml:space="preserve">핵심 정리</t>
  </si>
  <si>
    <r>
      <rPr>
        <sz val="10"/>
        <color rgb="FF375623"/>
        <rFont val="맑은 고딕"/>
        <family val="3"/>
        <charset val="129"/>
      </rPr>
      <t xml:space="preserve">② TSU · ANU · ANU-S: Schneider </t>
    </r>
    <r>
      <rPr>
        <sz val="10"/>
        <color rgb="FF375623"/>
        <rFont val="WenQuanYi Zen Hei"/>
        <family val="2"/>
      </rPr>
      <t xml:space="preserve">제안 구성 그대로 — </t>
    </r>
    <r>
      <rPr>
        <sz val="10"/>
        <color rgb="FF375623"/>
        <rFont val="맑은 고딕"/>
        <family val="3"/>
        <charset val="129"/>
      </rPr>
      <t xml:space="preserve">Techross </t>
    </r>
    <r>
      <rPr>
        <sz val="10"/>
        <color rgb="FF375623"/>
        <rFont val="WenQuanYi Zen Hei"/>
        <family val="2"/>
      </rPr>
      <t xml:space="preserve">요구 충족</t>
    </r>
    <r>
      <rPr>
        <sz val="10"/>
        <color rgb="FF375623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</si>
  <si>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③ MCC: </t>
    </r>
    <r>
      <rPr>
        <sz val="10"/>
        <color rgb="FF000000"/>
        <rFont val="WenQuanYi Zen Hei"/>
        <family val="2"/>
      </rPr>
      <t xml:space="preserve">기존 사양</t>
    </r>
    <r>
      <rPr>
        <sz val="10"/>
        <color rgb="FF000000"/>
        <rFont val="맑은 고딕"/>
        <family val="3"/>
        <charset val="129"/>
      </rPr>
      <t xml:space="preserve">(</t>
    </r>
    <r>
      <rPr>
        <sz val="10"/>
        <color rgb="FF000000"/>
        <rFont val="WenQuanYi Zen Hei"/>
        <family val="2"/>
      </rPr>
      <t xml:space="preserve">현행 유지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WenQuanYi Zen Hei"/>
        <family val="2"/>
      </rPr>
      <t xml:space="preserve">입력 </t>
    </r>
    <r>
      <rPr>
        <sz val="10"/>
        <color rgb="FF000000"/>
        <rFont val="맑은 고딕"/>
        <family val="3"/>
        <charset val="129"/>
      </rPr>
      <t xml:space="preserve">102 / </t>
    </r>
    <r>
      <rPr>
        <sz val="10"/>
        <color rgb="FF000000"/>
        <rFont val="WenQuanYi Zen Hei"/>
        <family val="2"/>
      </rPr>
      <t xml:space="preserve">출력 </t>
    </r>
    <r>
      <rPr>
        <sz val="10"/>
        <color rgb="FF000000"/>
        <rFont val="맑은 고딕"/>
        <family val="3"/>
        <charset val="129"/>
      </rPr>
      <t xml:space="preserve">54 / AO 4) </t>
    </r>
    <r>
      <rPr>
        <sz val="10"/>
        <color rgb="FF000000"/>
        <rFont val="WenQuanYi Zen Hei"/>
        <family val="2"/>
      </rPr>
      <t xml:space="preserve">기준으로 구성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WenQuanYi Zen Hei"/>
        <family val="2"/>
      </rPr>
      <t xml:space="preserve">출력은 </t>
    </r>
    <r>
      <rPr>
        <sz val="10"/>
        <color rgb="FF000000"/>
        <rFont val="맑은 고딕"/>
        <family val="3"/>
        <charset val="129"/>
      </rPr>
      <t xml:space="preserve">Relay·TR </t>
    </r>
    <r>
      <rPr>
        <sz val="10"/>
        <color rgb="FF000000"/>
        <rFont val="WenQuanYi Zen Hei"/>
        <family val="2"/>
      </rPr>
      <t xml:space="preserve">무관</t>
    </r>
    <r>
      <rPr>
        <sz val="10"/>
        <color rgb="FF000000"/>
        <rFont val="맑은 고딕"/>
        <family val="3"/>
        <charset val="129"/>
      </rPr>
      <t xml:space="preserve">(Techross </t>
    </r>
    <r>
      <rPr>
        <sz val="10"/>
        <color rgb="FF000000"/>
        <rFont val="WenQuanYi Zen Hei"/>
        <family val="2"/>
      </rPr>
      <t xml:space="preserve">확인</t>
    </r>
    <r>
      <rPr>
        <sz val="10"/>
        <color rgb="FF000000"/>
        <rFont val="맑은 고딕"/>
        <family val="3"/>
        <charset val="129"/>
      </rPr>
      <t xml:space="preserve">)</t>
    </r>
    <r>
      <rPr>
        <sz val="10"/>
        <color rgb="FF000000"/>
        <rFont val="WenQuanYi Zen Hei"/>
        <family val="2"/>
      </rPr>
      <t xml:space="preserve">이라 </t>
    </r>
    <r>
      <rPr>
        <sz val="10"/>
        <color rgb="FF000000"/>
        <rFont val="맑은 고딕"/>
        <family val="3"/>
        <charset val="129"/>
      </rPr>
      <t xml:space="preserve">TR </t>
    </r>
    <r>
      <rPr>
        <sz val="10"/>
        <color rgb="FF000000"/>
        <rFont val="WenQuanYi Zen Hei"/>
        <family val="2"/>
      </rPr>
      <t xml:space="preserve">모듈 사용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WenQuanYi Zen Hei"/>
        <family val="2"/>
      </rPr>
      <t xml:space="preserve">확장 모듈 </t>
    </r>
    <r>
      <rPr>
        <sz val="10"/>
        <color rgb="FF000000"/>
        <rFont val="맑은 고딕"/>
        <family val="3"/>
        <charset val="129"/>
      </rPr>
      <t xml:space="preserve">9</t>
    </r>
    <r>
      <rPr>
        <sz val="10"/>
        <color rgb="FF000000"/>
        <rFont val="WenQuanYi Zen Hei"/>
        <family val="2"/>
      </rPr>
      <t xml:space="preserve">개 → 버스 확장 포함</t>
    </r>
    <r>
      <rPr>
        <sz val="10"/>
        <color rgb="FF000000"/>
        <rFont val="맑은 고딕"/>
        <family val="3"/>
        <charset val="129"/>
      </rPr>
      <t xml:space="preserve">.</t>
    </r>
  </si>
  <si>
    <r>
      <rPr>
        <sz val="10"/>
        <color rgb="FF000000"/>
        <rFont val="맑은 고딕"/>
        <family val="3"/>
        <charset val="129"/>
      </rPr>
      <t xml:space="preserve">⑤ ANU: </t>
    </r>
    <r>
      <rPr>
        <sz val="10"/>
        <color rgb="FF000000"/>
        <rFont val="WenQuanYi Zen Hei"/>
        <family val="2"/>
      </rPr>
      <t xml:space="preserve">기존 </t>
    </r>
    <r>
      <rPr>
        <sz val="10"/>
        <color rgb="FF000000"/>
        <rFont val="맑은 고딕"/>
        <family val="3"/>
        <charset val="129"/>
      </rPr>
      <t xml:space="preserve">AO561(</t>
    </r>
    <r>
      <rPr>
        <sz val="10"/>
        <color rgb="FF000000"/>
        <rFont val="WenQuanYi Zen Hei"/>
        <family val="2"/>
      </rPr>
      <t xml:space="preserve">아날로그 출력</t>
    </r>
    <r>
      <rPr>
        <sz val="10"/>
        <color rgb="FF000000"/>
        <rFont val="맑은 고딕"/>
        <family val="3"/>
        <charset val="129"/>
      </rPr>
      <t xml:space="preserve">)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맑은 고딕"/>
        <family val="3"/>
        <charset val="129"/>
      </rPr>
      <t xml:space="preserve">RFQ </t>
    </r>
    <r>
      <rPr>
        <sz val="10"/>
        <color rgb="FF000000"/>
        <rFont val="WenQuanYi Zen Hei"/>
        <family val="2"/>
      </rPr>
      <t xml:space="preserve">필수 사양에 없어 뺐습니다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WenQuanYi Zen Hei"/>
        <family val="2"/>
      </rPr>
      <t xml:space="preserve">실제로 쓰고 있다면 </t>
    </r>
    <r>
      <rPr>
        <sz val="10"/>
        <color rgb="FF000000"/>
        <rFont val="맑은 고딕"/>
        <family val="3"/>
        <charset val="129"/>
      </rPr>
      <t xml:space="preserve">1</t>
    </r>
    <r>
      <rPr>
        <sz val="10"/>
        <color rgb="FF000000"/>
        <rFont val="WenQuanYi Zen Hei"/>
        <family val="2"/>
      </rPr>
      <t xml:space="preserve">대당 </t>
    </r>
    <r>
      <rPr>
        <sz val="10"/>
        <color rgb="FF000000"/>
        <rFont val="맑은 고딕"/>
        <family val="3"/>
        <charset val="129"/>
      </rPr>
      <t xml:space="preserve">138,400</t>
    </r>
    <r>
      <rPr>
        <sz val="10"/>
        <color rgb="FF000000"/>
        <rFont val="WenQuanYi Zen Hei"/>
        <family val="2"/>
      </rPr>
      <t xml:space="preserve">원 추가</t>
    </r>
    <r>
      <rPr>
        <sz val="10"/>
        <color rgb="FF000000"/>
        <rFont val="맑은 고딕"/>
        <family val="3"/>
        <charset val="129"/>
      </rPr>
      <t xml:space="preserve">.</t>
    </r>
  </si>
  <si>
    <t xml:space="preserve">⑦ 받은 단가가 2027년 가격 기준인지 확인이 필요합니다 (RFQ 조건).</t>
  </si>
  <si>
    <r>
      <rPr>
        <b val="true"/>
        <sz val="14"/>
        <color rgb="FF1F3864"/>
        <rFont val="맑은 고딕"/>
        <family val="3"/>
        <charset val="129"/>
      </rPr>
      <t xml:space="preserve">LS </t>
    </r>
    <r>
      <rPr>
        <b val="true"/>
        <sz val="14"/>
        <color rgb="FF1F3864"/>
        <rFont val="WenQuanYi Zen Hei"/>
        <family val="2"/>
      </rPr>
      <t xml:space="preserve">타겟 프라이스 → 우리 마진 </t>
    </r>
    <r>
      <rPr>
        <b val="true"/>
        <sz val="14"/>
        <color rgb="FF1F3864"/>
        <rFont val="맑은 고딕"/>
        <family val="3"/>
        <charset val="129"/>
      </rPr>
      <t xml:space="preserve">&amp; </t>
    </r>
    <r>
      <rPr>
        <b val="true"/>
        <sz val="14"/>
        <color rgb="FF1F3864"/>
        <rFont val="WenQuanYi Zen Hei"/>
        <family val="2"/>
      </rPr>
      <t xml:space="preserve">필요한 추가 특가</t>
    </r>
  </si>
  <si>
    <t xml:space="preserve">사용법: ① 노란 칸에 LS 타겟 프라이스(1대) 입력  ② 희망 마진율 입력  → 지금 마진, 그리고 희망 마진을 남기려면 Schneider에 얼마나 더 깎아야 하는지 바로 나옵니다.</t>
  </si>
  <si>
    <t xml:space="preserve">희망 마진율</t>
  </si>
  <si>
    <t xml:space="preserve">← 우리가 남기고 싶은 마진율 (판매가 기준)</t>
  </si>
  <si>
    <t xml:space="preserve">① 지금 단가(현재 DF)로 LS 타겟 가격에 팔면</t>
  </si>
  <si>
    <t xml:space="preserve">전원</t>
  </si>
  <si>
    <t xml:space="preserve">연간 수량
(대)</t>
  </si>
  <si>
    <r>
      <rPr>
        <b val="true"/>
        <sz val="10"/>
        <color rgb="FFFFFFFF"/>
        <rFont val="맑은 고딕"/>
        <family val="3"/>
        <charset val="129"/>
      </rPr>
      <t xml:space="preserve">LS </t>
    </r>
    <r>
      <rPr>
        <b val="true"/>
        <sz val="10"/>
        <color rgb="FFFFFFFF"/>
        <rFont val="WenQuanYi Zen Hei"/>
        <family val="2"/>
      </rPr>
      <t xml:space="preserve">타겟 프라이스
</t>
    </r>
    <r>
      <rPr>
        <b val="true"/>
        <sz val="10"/>
        <color rgb="FFFFFFFF"/>
        <rFont val="맑은 고딕"/>
        <family val="3"/>
        <charset val="129"/>
      </rPr>
      <t xml:space="preserve">(1</t>
    </r>
    <r>
      <rPr>
        <b val="true"/>
        <sz val="10"/>
        <color rgb="FFFFFFFF"/>
        <rFont val="WenQuanYi Zen Hei"/>
        <family val="2"/>
      </rPr>
      <t xml:space="preserve">대</t>
    </r>
    <r>
      <rPr>
        <b val="true"/>
        <sz val="10"/>
        <color rgb="FFFFFFFF"/>
        <rFont val="맑은 고딕"/>
        <family val="3"/>
        <charset val="129"/>
      </rPr>
      <t xml:space="preserve">)</t>
    </r>
  </si>
  <si>
    <t xml:space="preserve">현재 매입가
(1대)</t>
  </si>
  <si>
    <t xml:space="preserve">마진
(1대)</t>
  </si>
  <si>
    <t xml:space="preserve">마진율</t>
  </si>
  <si>
    <t xml:space="preserve">연간 매출</t>
  </si>
  <si>
    <t xml:space="preserve">연간 마진</t>
  </si>
  <si>
    <t xml:space="preserve">DC24V</t>
  </si>
  <si>
    <t xml:space="preserve">← 마이너스면 빨간색</t>
  </si>
  <si>
    <t xml:space="preserve">② 희망 마진율을 남기려면 Schneider에 얼마나 더 받아야 하나</t>
  </si>
  <si>
    <t xml:space="preserve">허용 매입가
(1대)</t>
  </si>
  <si>
    <t xml:space="preserve">더 깎아야 할 금액
(1대)</t>
  </si>
  <si>
    <t xml:space="preserve">추가 할인율
(현재 매입가 대비)</t>
  </si>
  <si>
    <t xml:space="preserve">현재 DF
(실효)</t>
  </si>
  <si>
    <t xml:space="preserve">필요 DF
(실효)</t>
  </si>
  <si>
    <t xml:space="preserve">연간 추가 특가
필요액</t>
  </si>
  <si>
    <t xml:space="preserve">판정</t>
  </si>
  <si>
    <t xml:space="preserve">※ 허용 매입가 = 타겟 × (1 − 희망 마진율).  실효 DF = 1대 매입가 ÷ 1대 리스트가 합계 (CPU 0.45 · 모듈 0.40이 섞인 평균 할인율).  '필요 DF'가 Schneider에 요청할 수준입니다.</t>
  </si>
  <si>
    <t xml:space="preserve">③ 연간 합계 (4개 프로젝트 전부)</t>
  </si>
  <si>
    <t xml:space="preserve">납품 방식</t>
  </si>
  <si>
    <t xml:space="preserve">연간 매입</t>
  </si>
  <si>
    <t xml:space="preserve">희망 마진까지
연간 추가 특가</t>
  </si>
  <si>
    <r>
      <rPr>
        <b val="true"/>
        <sz val="10"/>
        <color rgb="FF000000"/>
        <rFont val="맑은 고딕"/>
        <family val="3"/>
        <charset val="129"/>
      </rPr>
      <t xml:space="preserve">DC24V</t>
    </r>
    <r>
      <rPr>
        <b val="true"/>
        <sz val="10"/>
        <color rgb="FF000000"/>
        <rFont val="WenQuanYi Zen Hei"/>
        <family val="2"/>
      </rPr>
      <t xml:space="preserve">로 납품</t>
    </r>
  </si>
  <si>
    <r>
      <rPr>
        <b val="true"/>
        <sz val="10"/>
        <color rgb="FF000000"/>
        <rFont val="맑은 고딕"/>
        <family val="3"/>
        <charset val="129"/>
      </rPr>
      <t xml:space="preserve">AC220V</t>
    </r>
    <r>
      <rPr>
        <b val="true"/>
        <sz val="10"/>
        <color rgb="FF000000"/>
        <rFont val="WenQuanYi Zen Hei"/>
        <family val="2"/>
      </rPr>
      <t xml:space="preserve">로 납품 </t>
    </r>
    <r>
      <rPr>
        <b val="true"/>
        <sz val="10"/>
        <color rgb="FF000000"/>
        <rFont val="맑은 고딕"/>
        <family val="3"/>
        <charset val="129"/>
      </rPr>
      <t xml:space="preserve">(MCC</t>
    </r>
    <r>
      <rPr>
        <b val="true"/>
        <sz val="10"/>
        <color rgb="FF000000"/>
        <rFont val="WenQuanYi Zen Hei"/>
        <family val="2"/>
      </rPr>
      <t xml:space="preserve">는 </t>
    </r>
    <r>
      <rPr>
        <b val="true"/>
        <sz val="10"/>
        <color rgb="FF000000"/>
        <rFont val="맑은 고딕"/>
        <family val="3"/>
        <charset val="129"/>
      </rPr>
      <t xml:space="preserve">DC24V)</t>
    </r>
  </si>
  <si>
    <t xml:space="preserve">※ 매입가는 현재 할인율(CPU 0.45 · 모듈 0.40) 기준. MCC는 버스 확장(TM3XTRA1/XREC1)까지 포함된 가격입니다.</t>
  </si>
  <si>
    <r>
      <rPr>
        <sz val="9"/>
        <color rgb="FF7F7F7F"/>
        <rFont val="맑은 고딕"/>
        <family val="3"/>
        <charset val="129"/>
      </rPr>
      <t xml:space="preserve">※ LS</t>
    </r>
    <r>
      <rPr>
        <sz val="9"/>
        <color rgb="FF7F7F7F"/>
        <rFont val="WenQuanYi Zen Hei"/>
        <family val="2"/>
      </rPr>
      <t xml:space="preserve">가 프로젝트별로 한 가격만 주면 </t>
    </r>
    <r>
      <rPr>
        <sz val="9"/>
        <color rgb="FF7F7F7F"/>
        <rFont val="맑은 고딕"/>
        <family val="3"/>
        <charset val="129"/>
      </rPr>
      <t xml:space="preserve">AC220V·DC24V </t>
    </r>
    <r>
      <rPr>
        <sz val="9"/>
        <color rgb="FF7F7F7F"/>
        <rFont val="WenQuanYi Zen Hei"/>
        <family val="2"/>
      </rPr>
      <t xml:space="preserve">칸에 같은 값을 넣어 비교하세요</t>
    </r>
    <r>
      <rPr>
        <sz val="9"/>
        <color rgb="FF7F7F7F"/>
        <rFont val="맑은 고딕"/>
        <family val="3"/>
        <charset val="129"/>
      </rPr>
      <t xml:space="preserve">.</t>
    </r>
  </si>
  <si>
    <r>
      <rPr>
        <sz val="9"/>
        <color rgb="FF7F7F7F"/>
        <rFont val="맑은 고딕"/>
        <family val="3"/>
        <charset val="129"/>
      </rPr>
      <t xml:space="preserve">※ '</t>
    </r>
    <r>
      <rPr>
        <sz val="9"/>
        <color rgb="FF7F7F7F"/>
        <rFont val="WenQuanYi Zen Hei"/>
        <family val="2"/>
      </rPr>
      <t xml:space="preserve">희망 마진까지 연간 추가 특가</t>
    </r>
    <r>
      <rPr>
        <sz val="9"/>
        <color rgb="FF7F7F7F"/>
        <rFont val="맑은 고딕"/>
        <family val="3"/>
        <charset val="129"/>
      </rPr>
      <t xml:space="preserve">'</t>
    </r>
    <r>
      <rPr>
        <sz val="9"/>
        <color rgb="FF7F7F7F"/>
        <rFont val="WenQuanYi Zen Hei"/>
        <family val="2"/>
      </rPr>
      <t xml:space="preserve">는 프로젝트마다 각각 희망 마진을 맞출 때 필요한 금액입니다</t>
    </r>
    <r>
      <rPr>
        <sz val="9"/>
        <color rgb="FF7F7F7F"/>
        <rFont val="맑은 고딕"/>
        <family val="3"/>
        <charset val="129"/>
      </rPr>
      <t xml:space="preserve">. </t>
    </r>
    <r>
      <rPr>
        <sz val="9"/>
        <color rgb="FF7F7F7F"/>
        <rFont val="WenQuanYi Zen Hei"/>
        <family val="2"/>
      </rPr>
      <t xml:space="preserve">묶음 전체 마진율</t>
    </r>
    <r>
      <rPr>
        <sz val="9"/>
        <color rgb="FF7F7F7F"/>
        <rFont val="맑은 고딕"/>
        <family val="3"/>
        <charset val="129"/>
      </rPr>
      <t xml:space="preserve">(F30·F31)</t>
    </r>
    <r>
      <rPr>
        <sz val="9"/>
        <color rgb="FF7F7F7F"/>
        <rFont val="WenQuanYi Zen Hei"/>
        <family val="2"/>
      </rPr>
      <t xml:space="preserve">이 희망 마진율 이상이면 추가 특가 없이 목표 달성</t>
    </r>
    <r>
      <rPr>
        <sz val="9"/>
        <color rgb="FF7F7F7F"/>
        <rFont val="맑은 고딕"/>
        <family val="3"/>
        <charset val="129"/>
      </rPr>
      <t xml:space="preserve">.</t>
    </r>
  </si>
  <si>
    <t xml:space="preserve">프로젝트별 PLC 구성</t>
  </si>
  <si>
    <t xml:space="preserve">단가는 '단가표'에서 자동으로 가져옵니다. 1대(1세트) 기준.</t>
  </si>
  <si>
    <t xml:space="preserve">기존 PLC</t>
  </si>
  <si>
    <t xml:space="preserve">필요 사양</t>
  </si>
  <si>
    <t xml:space="preserve">입력 3 / 출력 6 / 통신 Serial 2CH  (+10% 여유)</t>
  </si>
  <si>
    <t xml:space="preserve">모델</t>
  </si>
  <si>
    <t xml:space="preserve">설명</t>
  </si>
  <si>
    <t xml:space="preserve">수량</t>
  </si>
  <si>
    <t xml:space="preserve">매입 단가</t>
  </si>
  <si>
    <t xml:space="preserve">매입 금액</t>
  </si>
  <si>
    <t xml:space="preserve">리스트가 금액</t>
  </si>
  <si>
    <r>
      <rPr>
        <sz val="10"/>
        <color rgb="FF000000"/>
        <rFont val="맑은 고딕"/>
        <family val="3"/>
        <charset val="129"/>
      </rPr>
      <t xml:space="preserve">DC24V (</t>
    </r>
    <r>
      <rPr>
        <sz val="10"/>
        <color rgb="FF000000"/>
        <rFont val="WenQuanYi Zen Hei"/>
        <family val="2"/>
      </rPr>
      <t xml:space="preserve">권장</t>
    </r>
    <r>
      <rPr>
        <sz val="10"/>
        <color rgb="FF000000"/>
        <rFont val="맑은 고딕"/>
        <family val="3"/>
        <charset val="129"/>
      </rPr>
      <t xml:space="preserve">)</t>
    </r>
  </si>
  <si>
    <r>
      <rPr>
        <b val="true"/>
        <sz val="10"/>
        <color rgb="FF000000"/>
        <rFont val="맑은 고딕"/>
        <family val="3"/>
        <charset val="129"/>
      </rPr>
      <t xml:space="preserve">DC24V 1</t>
    </r>
    <r>
      <rPr>
        <b val="true"/>
        <sz val="10"/>
        <color rgb="FF000000"/>
        <rFont val="WenQuanYi Zen Hei"/>
        <family val="2"/>
      </rPr>
      <t xml:space="preserve">대 가격</t>
    </r>
  </si>
  <si>
    <r>
      <rPr>
        <b val="true"/>
        <sz val="10"/>
        <color rgb="FF000000"/>
        <rFont val="맑은 고딕"/>
        <family val="3"/>
        <charset val="129"/>
      </rPr>
      <t xml:space="preserve">AC220V 1</t>
    </r>
    <r>
      <rPr>
        <b val="true"/>
        <sz val="10"/>
        <color rgb="FF000000"/>
        <rFont val="WenQuanYi Zen Hei"/>
        <family val="2"/>
      </rPr>
      <t xml:space="preserve">대 가격</t>
    </r>
  </si>
  <si>
    <t xml:space="preserve">제공: 입력 14 / 출력 10 / Serial 2CH → 충족</t>
  </si>
  <si>
    <t xml:space="preserve">입력 6 / 출력 12 / 통신 Serial 2CH  (+10% 여유)</t>
  </si>
  <si>
    <t xml:space="preserve">제공: 입력 24 / 출력 16 / Serial 2CH → 충족.  ※ 기존 AO561(아날로그 출력)을 쓰고 있다면 TM3AQ2 추가 필요 (+138,400원)</t>
  </si>
  <si>
    <t xml:space="preserve">입력 3 / 출력 5 / 아날로그 출력 1CH / 통신 Serial 2CH  (+10% 여유)</t>
  </si>
  <si>
    <t xml:space="preserve">TM3AQ2</t>
  </si>
  <si>
    <t xml:space="preserve">제공: 입력 14 / 출력 10 / 아날로그 출력 2CH / Serial 2CH → 충족</t>
  </si>
  <si>
    <r>
      <rPr>
        <sz val="10"/>
        <color rgb="FF000000"/>
        <rFont val="맑은 고딕"/>
        <family val="3"/>
        <charset val="129"/>
      </rPr>
      <t xml:space="preserve">Techross </t>
    </r>
    <r>
      <rPr>
        <sz val="10"/>
        <color rgb="FF000000"/>
        <rFont val="WenQuanYi Zen Hei"/>
        <family val="2"/>
      </rPr>
      <t xml:space="preserve">기준 </t>
    </r>
    <r>
      <rPr>
        <sz val="10"/>
        <color rgb="FF000000"/>
        <rFont val="맑은 고딕"/>
        <family val="3"/>
        <charset val="129"/>
      </rPr>
      <t xml:space="preserve">(</t>
    </r>
    <r>
      <rPr>
        <sz val="10"/>
        <color rgb="FF000000"/>
        <rFont val="WenQuanYi Zen Hei"/>
        <family val="2"/>
      </rPr>
      <t xml:space="preserve">현행 유지</t>
    </r>
    <r>
      <rPr>
        <sz val="10"/>
        <color rgb="FF000000"/>
        <rFont val="맑은 고딕"/>
        <family val="3"/>
        <charset val="129"/>
      </rPr>
      <t xml:space="preserve">): </t>
    </r>
    <r>
      <rPr>
        <sz val="10"/>
        <color rgb="FF000000"/>
        <rFont val="WenQuanYi Zen Hei"/>
        <family val="2"/>
      </rPr>
      <t xml:space="preserve">입력 </t>
    </r>
    <r>
      <rPr>
        <sz val="10"/>
        <color rgb="FF000000"/>
        <rFont val="맑은 고딕"/>
        <family val="3"/>
        <charset val="129"/>
      </rPr>
      <t xml:space="preserve">102 / </t>
    </r>
    <r>
      <rPr>
        <sz val="10"/>
        <color rgb="FF000000"/>
        <rFont val="WenQuanYi Zen Hei"/>
        <family val="2"/>
      </rPr>
      <t xml:space="preserve">출력 </t>
    </r>
    <r>
      <rPr>
        <sz val="10"/>
        <color rgb="FF000000"/>
        <rFont val="맑은 고딕"/>
        <family val="3"/>
        <charset val="129"/>
      </rPr>
      <t xml:space="preserve">54 (Relay·TR </t>
    </r>
    <r>
      <rPr>
        <sz val="10"/>
        <color rgb="FF000000"/>
        <rFont val="WenQuanYi Zen Hei"/>
        <family val="2"/>
      </rPr>
      <t xml:space="preserve">무관</t>
    </r>
    <r>
      <rPr>
        <sz val="10"/>
        <color rgb="FF000000"/>
        <rFont val="맑은 고딕"/>
        <family val="3"/>
        <charset val="129"/>
      </rPr>
      <t xml:space="preserve">) / </t>
    </r>
    <r>
      <rPr>
        <sz val="10"/>
        <color rgb="FF000000"/>
        <rFont val="WenQuanYi Zen Hei"/>
        <family val="2"/>
      </rPr>
      <t xml:space="preserve">아날로그 출력 </t>
    </r>
    <r>
      <rPr>
        <sz val="10"/>
        <color rgb="FF000000"/>
        <rFont val="맑은 고딕"/>
        <family val="3"/>
        <charset val="129"/>
      </rPr>
      <t xml:space="preserve">4CH / Serial 1CH + </t>
    </r>
    <r>
      <rPr>
        <sz val="10"/>
        <color rgb="FF000000"/>
        <rFont val="WenQuanYi Zen Hei"/>
        <family val="2"/>
      </rPr>
      <t xml:space="preserve">이더넷 </t>
    </r>
    <r>
      <rPr>
        <sz val="10"/>
        <color rgb="FF000000"/>
        <rFont val="맑은 고딕"/>
        <family val="3"/>
        <charset val="129"/>
      </rPr>
      <t xml:space="preserve">1CH</t>
    </r>
  </si>
  <si>
    <r>
      <rPr>
        <sz val="10"/>
        <color rgb="FF000000"/>
        <rFont val="맑은 고딕"/>
        <family val="3"/>
        <charset val="129"/>
      </rPr>
      <t xml:space="preserve">DC24V (A</t>
    </r>
    <r>
      <rPr>
        <sz val="10"/>
        <color rgb="FF000000"/>
        <rFont val="WenQuanYi Zen Hei"/>
        <family val="2"/>
      </rPr>
      <t xml:space="preserve">안</t>
    </r>
    <r>
      <rPr>
        <sz val="10"/>
        <color rgb="FF000000"/>
        <rFont val="맑은 고딕"/>
        <family val="3"/>
        <charset val="129"/>
      </rPr>
      <t xml:space="preserve">)</t>
    </r>
  </si>
  <si>
    <t xml:space="preserve">TM241CE40T</t>
  </si>
  <si>
    <t xml:space="preserve">TM3DI16</t>
  </si>
  <si>
    <t xml:space="preserve">TM3DQ16T</t>
  </si>
  <si>
    <t xml:space="preserve">TM3DQ8T</t>
  </si>
  <si>
    <t xml:space="preserve">TM3AQ4</t>
  </si>
  <si>
    <t xml:space="preserve">TM3XTRA1</t>
  </si>
  <si>
    <t xml:space="preserve">TM3XREC1</t>
  </si>
  <si>
    <t xml:space="preserve">제공: 입력 104 / 출력 56 (TR) / 아날로그 출력 4CH / Serial 2CH + 이더넷 → 충족.  확장 모듈 9개 → 버스 확장(TM3XTRA1/XREC1) 포함.</t>
  </si>
  <si>
    <t xml:space="preserve">연간 BOM — 확정 구성 기준 (모델별 연간 소요량)</t>
  </si>
  <si>
    <t xml:space="preserve">연간 수량 = 프로젝트별 1대 구성 × 연간 구매수량('요약' 시트)  ·  단가 = '단가표' 매입 단가  ·  MCC는 Techross 기준(A안)</t>
  </si>
  <si>
    <t xml:space="preserve">단가</t>
  </si>
  <si>
    <r>
      <rPr>
        <b val="true"/>
        <sz val="10"/>
        <color rgb="FFFFFFFF"/>
        <rFont val="맑은 고딕"/>
        <family val="3"/>
        <charset val="129"/>
      </rPr>
      <t xml:space="preserve">DC24V </t>
    </r>
    <r>
      <rPr>
        <b val="true"/>
        <sz val="10"/>
        <color rgb="FFFFFFFF"/>
        <rFont val="WenQuanYi Zen Hei"/>
        <family val="2"/>
      </rPr>
      <t xml:space="preserve">납품
연간 수량</t>
    </r>
  </si>
  <si>
    <r>
      <rPr>
        <b val="true"/>
        <sz val="10"/>
        <color rgb="FFFFFFFF"/>
        <rFont val="맑은 고딕"/>
        <family val="3"/>
        <charset val="129"/>
      </rPr>
      <t xml:space="preserve">DC24V </t>
    </r>
    <r>
      <rPr>
        <b val="true"/>
        <sz val="10"/>
        <color rgb="FFFFFFFF"/>
        <rFont val="WenQuanYi Zen Hei"/>
        <family val="2"/>
      </rPr>
      <t xml:space="preserve">납품
연간 금액</t>
    </r>
  </si>
  <si>
    <r>
      <rPr>
        <b val="true"/>
        <sz val="10"/>
        <color rgb="FFFFFFFF"/>
        <rFont val="맑은 고딕"/>
        <family val="3"/>
        <charset val="129"/>
      </rPr>
      <t xml:space="preserve">AC220V </t>
    </r>
    <r>
      <rPr>
        <b val="true"/>
        <sz val="10"/>
        <color rgb="FFFFFFFF"/>
        <rFont val="WenQuanYi Zen Hei"/>
        <family val="2"/>
      </rPr>
      <t xml:space="preserve">납품
연간 수량</t>
    </r>
  </si>
  <si>
    <r>
      <rPr>
        <b val="true"/>
        <sz val="10"/>
        <color rgb="FFFFFFFF"/>
        <rFont val="맑은 고딕"/>
        <family val="3"/>
        <charset val="129"/>
      </rPr>
      <t xml:space="preserve">AC220V </t>
    </r>
    <r>
      <rPr>
        <b val="true"/>
        <sz val="10"/>
        <color rgb="FFFFFFFF"/>
        <rFont val="WenQuanYi Zen Hei"/>
        <family val="2"/>
      </rPr>
      <t xml:space="preserve">납품
연간 금액</t>
    </r>
  </si>
  <si>
    <t xml:space="preserve">사용 프로젝트 (1대당 수량)</t>
  </si>
  <si>
    <t xml:space="preserve">TSU, ANU-S</t>
  </si>
  <si>
    <t xml:space="preserve">MCC×5</t>
  </si>
  <si>
    <t xml:space="preserve">MCC×2</t>
  </si>
  <si>
    <t xml:space="preserve">※ 단가는 '단가표' 매입 단가 (TM241CE40T · TM3XTRA1 · TM3XREC1은 2026-10-06 추가 견적).</t>
  </si>
  <si>
    <r>
      <rPr>
        <sz val="9"/>
        <color rgb="FF404040"/>
        <rFont val="맑은 고딕"/>
        <family val="3"/>
        <charset val="129"/>
      </rPr>
      <t xml:space="preserve">※ AC220V </t>
    </r>
    <r>
      <rPr>
        <sz val="9"/>
        <color rgb="FF404040"/>
        <rFont val="WenQuanYi Zen Hei"/>
        <family val="2"/>
      </rPr>
      <t xml:space="preserve">납품 시에도 </t>
    </r>
    <r>
      <rPr>
        <sz val="9"/>
        <color rgb="FF404040"/>
        <rFont val="맑은 고딕"/>
        <family val="3"/>
        <charset val="129"/>
      </rPr>
      <t xml:space="preserve">MCC</t>
    </r>
    <r>
      <rPr>
        <sz val="9"/>
        <color rgb="FF404040"/>
        <rFont val="WenQuanYi Zen Hei"/>
        <family val="2"/>
      </rPr>
      <t xml:space="preserve">는 </t>
    </r>
    <r>
      <rPr>
        <sz val="9"/>
        <color rgb="FF404040"/>
        <rFont val="맑은 고딕"/>
        <family val="3"/>
        <charset val="129"/>
      </rPr>
      <t xml:space="preserve">DC24V(TM241CE40T)</t>
    </r>
    <r>
      <rPr>
        <sz val="9"/>
        <color rgb="FF404040"/>
        <rFont val="WenQuanYi Zen Hei"/>
        <family val="2"/>
      </rPr>
      <t xml:space="preserve">입니다</t>
    </r>
    <r>
      <rPr>
        <sz val="9"/>
        <color rgb="FF404040"/>
        <rFont val="맑은 고딕"/>
        <family val="3"/>
        <charset val="129"/>
      </rPr>
      <t xml:space="preserve">.</t>
    </r>
  </si>
  <si>
    <r>
      <rPr>
        <b val="true"/>
        <sz val="14"/>
        <color rgb="FF1F3864"/>
        <rFont val="맑은 고딕"/>
        <family val="3"/>
        <charset val="129"/>
      </rPr>
      <t xml:space="preserve">CPU </t>
    </r>
    <r>
      <rPr>
        <b val="true"/>
        <sz val="14"/>
        <color rgb="FF1F3864"/>
        <rFont val="WenQuanYi Zen Hei"/>
        <family val="2"/>
      </rPr>
      <t xml:space="preserve">할인율을 더 받으면 얼마나 싸지나 </t>
    </r>
    <r>
      <rPr>
        <b val="true"/>
        <sz val="14"/>
        <color rgb="FF1F3864"/>
        <rFont val="맑은 고딕"/>
        <family val="3"/>
        <charset val="129"/>
      </rPr>
      <t xml:space="preserve">(</t>
    </r>
    <r>
      <rPr>
        <b val="true"/>
        <sz val="14"/>
        <color rgb="FF1F3864"/>
        <rFont val="WenQuanYi Zen Hei"/>
        <family val="2"/>
      </rPr>
      <t xml:space="preserve">현재 </t>
    </r>
    <r>
      <rPr>
        <b val="true"/>
        <sz val="14"/>
        <color rgb="FF1F3864"/>
        <rFont val="맑은 고딕"/>
        <family val="3"/>
        <charset val="129"/>
      </rPr>
      <t xml:space="preserve">= Schneider </t>
    </r>
    <r>
      <rPr>
        <b val="true"/>
        <sz val="14"/>
        <color rgb="FF1F3864"/>
        <rFont val="WenQuanYi Zen Hei"/>
        <family val="2"/>
      </rPr>
      <t xml:space="preserve">협의값</t>
    </r>
    <r>
      <rPr>
        <b val="true"/>
        <sz val="14"/>
        <color rgb="FF1F3864"/>
        <rFont val="맑은 고딕"/>
        <family val="3"/>
        <charset val="129"/>
      </rPr>
      <t xml:space="preserve">)</t>
    </r>
  </si>
  <si>
    <t xml:space="preserve">현재 할인율 (협의)</t>
  </si>
  <si>
    <t xml:space="preserve">목표 할인율</t>
  </si>
  <si>
    <t xml:space="preserve">← 숫자를 바꿔 보세요</t>
  </si>
  <si>
    <r>
      <rPr>
        <b val="true"/>
        <sz val="10"/>
        <color rgb="FFFFFFFF"/>
        <rFont val="맑은 고딕"/>
        <family val="3"/>
        <charset val="129"/>
      </rPr>
      <t xml:space="preserve">CPU </t>
    </r>
    <r>
      <rPr>
        <b val="true"/>
        <sz val="10"/>
        <color rgb="FFFFFFFF"/>
        <rFont val="WenQuanYi Zen Hei"/>
        <family val="2"/>
      </rPr>
      <t xml:space="preserve">모델</t>
    </r>
  </si>
  <si>
    <t xml:space="preserve">리스트가</t>
  </si>
  <si>
    <t xml:space="preserve">현재 매입가</t>
  </si>
  <si>
    <t xml:space="preserve">목표 매입가</t>
  </si>
  <si>
    <r>
      <rPr>
        <b val="true"/>
        <sz val="10"/>
        <color rgb="FFFFFFFF"/>
        <rFont val="맑은 고딕"/>
        <family val="3"/>
        <charset val="129"/>
      </rPr>
      <t xml:space="preserve">1</t>
    </r>
    <r>
      <rPr>
        <b val="true"/>
        <sz val="10"/>
        <color rgb="FFFFFFFF"/>
        <rFont val="WenQuanYi Zen Hei"/>
        <family val="2"/>
      </rPr>
      <t xml:space="preserve">대당 절감</t>
    </r>
  </si>
  <si>
    <t xml:space="preserve">연간 절감</t>
  </si>
  <si>
    <t xml:space="preserve">DC</t>
  </si>
  <si>
    <t xml:space="preserve">TSU + ANU-S (DC24V)</t>
  </si>
  <si>
    <t xml:space="preserve">ANU (DC24V)</t>
  </si>
  <si>
    <t xml:space="preserve">AC</t>
  </si>
  <si>
    <t xml:space="preserve">TSU + ANU-S (AC220V)</t>
  </si>
  <si>
    <t xml:space="preserve">ANU (AC220V)</t>
  </si>
  <si>
    <r>
      <rPr>
        <b val="true"/>
        <sz val="10"/>
        <color rgb="FF000000"/>
        <rFont val="맑은 고딕"/>
        <family val="3"/>
        <charset val="129"/>
      </rPr>
      <t xml:space="preserve">DC24V</t>
    </r>
    <r>
      <rPr>
        <b val="true"/>
        <sz val="10"/>
        <color rgb="FF000000"/>
        <rFont val="WenQuanYi Zen Hei"/>
        <family val="2"/>
      </rPr>
      <t xml:space="preserve">로 살 때 연간 추가 절감 </t>
    </r>
    <r>
      <rPr>
        <b val="true"/>
        <sz val="10"/>
        <color rgb="FF000000"/>
        <rFont val="맑은 고딕"/>
        <family val="3"/>
        <charset val="129"/>
      </rPr>
      <t xml:space="preserve">(TM241C24T + C40T + CE40T)</t>
    </r>
  </si>
  <si>
    <r>
      <rPr>
        <b val="true"/>
        <sz val="10"/>
        <color rgb="FF000000"/>
        <rFont val="맑은 고딕"/>
        <family val="3"/>
        <charset val="129"/>
      </rPr>
      <t xml:space="preserve">AC220V</t>
    </r>
    <r>
      <rPr>
        <b val="true"/>
        <sz val="10"/>
        <color rgb="FF000000"/>
        <rFont val="WenQuanYi Zen Hei"/>
        <family val="2"/>
      </rPr>
      <t xml:space="preserve">로 살 때 연간 추가 절감 </t>
    </r>
    <r>
      <rPr>
        <b val="true"/>
        <sz val="10"/>
        <color rgb="FF000000"/>
        <rFont val="맑은 고딕"/>
        <family val="3"/>
        <charset val="129"/>
      </rPr>
      <t xml:space="preserve">(TM241C24R + C40R + MCC CE40T)</t>
    </r>
  </si>
  <si>
    <t xml:space="preserve">※ 확장 모듈(TM3)의 협의 할인율 0.35는 그대로 두고, CPU만 계산했습니다.</t>
  </si>
  <si>
    <t xml:space="preserve">단가표 (견적 리스트가 × Schneider 협의 할인율)</t>
  </si>
  <si>
    <t xml:space="preserve">매입 단가 = 리스트가 × 할인율  —  Schneider 협의 (2026-10-06): CPU 0.40 / 확장 모듈 0.35</t>
  </si>
  <si>
    <t xml:space="preserve">No.</t>
  </si>
  <si>
    <t xml:space="preserve">할인율 (DF)</t>
  </si>
  <si>
    <t xml:space="preserve">TM241CE24T</t>
  </si>
  <si>
    <r>
      <rPr>
        <sz val="10"/>
        <color rgb="FF000000"/>
        <rFont val="맑은 고딕"/>
        <family val="3"/>
        <charset val="129"/>
      </rPr>
      <t xml:space="preserve">CPU + </t>
    </r>
    <r>
      <rPr>
        <sz val="10"/>
        <color rgb="FF000000"/>
        <rFont val="WenQuanYi Zen Hei"/>
        <family val="2"/>
      </rPr>
      <t xml:space="preserve">이더넷 </t>
    </r>
    <r>
      <rPr>
        <sz val="10"/>
        <color rgb="FF000000"/>
        <rFont val="맑은 고딕"/>
        <family val="3"/>
        <charset val="129"/>
      </rPr>
      <t xml:space="preserve">(</t>
    </r>
    <r>
      <rPr>
        <sz val="10"/>
        <color rgb="FF000000"/>
        <rFont val="WenQuanYi Zen Hei"/>
        <family val="2"/>
      </rPr>
      <t xml:space="preserve">입력 </t>
    </r>
    <r>
      <rPr>
        <sz val="10"/>
        <color rgb="FF000000"/>
        <rFont val="맑은 고딕"/>
        <family val="3"/>
        <charset val="129"/>
      </rPr>
      <t xml:space="preserve">14 / </t>
    </r>
    <r>
      <rPr>
        <sz val="10"/>
        <color rgb="FF000000"/>
        <rFont val="WenQuanYi Zen Hei"/>
        <family val="2"/>
      </rPr>
      <t xml:space="preserve">출력 </t>
    </r>
    <r>
      <rPr>
        <sz val="10"/>
        <color rgb="FF000000"/>
        <rFont val="맑은 고딕"/>
        <family val="3"/>
        <charset val="129"/>
      </rPr>
      <t xml:space="preserve">10)</t>
    </r>
  </si>
  <si>
    <r>
      <rPr>
        <sz val="10"/>
        <color rgb="FF000000"/>
        <rFont val="맑은 고딕"/>
        <family val="3"/>
        <charset val="129"/>
      </rPr>
      <t xml:space="preserve">CPU (</t>
    </r>
    <r>
      <rPr>
        <sz val="10"/>
        <color rgb="FF000000"/>
        <rFont val="WenQuanYi Zen Hei"/>
        <family val="2"/>
      </rPr>
      <t xml:space="preserve">입력 </t>
    </r>
    <r>
      <rPr>
        <sz val="10"/>
        <color rgb="FF000000"/>
        <rFont val="맑은 고딕"/>
        <family val="3"/>
        <charset val="129"/>
      </rPr>
      <t xml:space="preserve">14 / </t>
    </r>
    <r>
      <rPr>
        <sz val="10"/>
        <color rgb="FF000000"/>
        <rFont val="WenQuanYi Zen Hei"/>
        <family val="2"/>
      </rPr>
      <t xml:space="preserve">출력 </t>
    </r>
    <r>
      <rPr>
        <sz val="10"/>
        <color rgb="FF000000"/>
        <rFont val="맑은 고딕"/>
        <family val="3"/>
        <charset val="129"/>
      </rPr>
      <t xml:space="preserve">10)</t>
    </r>
  </si>
  <si>
    <r>
      <rPr>
        <sz val="10"/>
        <color rgb="FF000000"/>
        <rFont val="맑은 고딕"/>
        <family val="3"/>
        <charset val="129"/>
      </rPr>
      <t xml:space="preserve">CPU (</t>
    </r>
    <r>
      <rPr>
        <sz val="10"/>
        <color rgb="FF000000"/>
        <rFont val="WenQuanYi Zen Hei"/>
        <family val="2"/>
      </rPr>
      <t xml:space="preserve">입력 </t>
    </r>
    <r>
      <rPr>
        <sz val="10"/>
        <color rgb="FF000000"/>
        <rFont val="맑은 고딕"/>
        <family val="3"/>
        <charset val="129"/>
      </rPr>
      <t xml:space="preserve">14 / </t>
    </r>
    <r>
      <rPr>
        <sz val="10"/>
        <color rgb="FF000000"/>
        <rFont val="WenQuanYi Zen Hei"/>
        <family val="2"/>
      </rPr>
      <t xml:space="preserve">출력 </t>
    </r>
    <r>
      <rPr>
        <sz val="10"/>
        <color rgb="FF000000"/>
        <rFont val="맑은 고딕"/>
        <family val="3"/>
        <charset val="129"/>
      </rPr>
      <t xml:space="preserve">10 = </t>
    </r>
    <r>
      <rPr>
        <sz val="10"/>
        <color rgb="FF000000"/>
        <rFont val="WenQuanYi Zen Hei"/>
        <family val="2"/>
      </rPr>
      <t xml:space="preserve">릴레이 </t>
    </r>
    <r>
      <rPr>
        <sz val="10"/>
        <color rgb="FF000000"/>
        <rFont val="맑은 고딕"/>
        <family val="3"/>
        <charset val="129"/>
      </rPr>
      <t xml:space="preserve">6 + TR 4)</t>
    </r>
  </si>
  <si>
    <r>
      <rPr>
        <sz val="10"/>
        <color rgb="FF000000"/>
        <rFont val="맑은 고딕"/>
        <family val="3"/>
        <charset val="129"/>
      </rPr>
      <t xml:space="preserve">CPU (</t>
    </r>
    <r>
      <rPr>
        <sz val="10"/>
        <color rgb="FF000000"/>
        <rFont val="WenQuanYi Zen Hei"/>
        <family val="2"/>
      </rPr>
      <t xml:space="preserve">입력 </t>
    </r>
    <r>
      <rPr>
        <sz val="10"/>
        <color rgb="FF000000"/>
        <rFont val="맑은 고딕"/>
        <family val="3"/>
        <charset val="129"/>
      </rPr>
      <t xml:space="preserve">24 / </t>
    </r>
    <r>
      <rPr>
        <sz val="10"/>
        <color rgb="FF000000"/>
        <rFont val="WenQuanYi Zen Hei"/>
        <family val="2"/>
      </rPr>
      <t xml:space="preserve">출력 </t>
    </r>
    <r>
      <rPr>
        <sz val="10"/>
        <color rgb="FF000000"/>
        <rFont val="맑은 고딕"/>
        <family val="3"/>
        <charset val="129"/>
      </rPr>
      <t xml:space="preserve">16)</t>
    </r>
  </si>
  <si>
    <r>
      <rPr>
        <sz val="10"/>
        <color rgb="FF000000"/>
        <rFont val="맑은 고딕"/>
        <family val="3"/>
        <charset val="129"/>
      </rPr>
      <t xml:space="preserve">CPU (</t>
    </r>
    <r>
      <rPr>
        <sz val="10"/>
        <color rgb="FF000000"/>
        <rFont val="WenQuanYi Zen Hei"/>
        <family val="2"/>
      </rPr>
      <t xml:space="preserve">입력 </t>
    </r>
    <r>
      <rPr>
        <sz val="10"/>
        <color rgb="FF000000"/>
        <rFont val="맑은 고딕"/>
        <family val="3"/>
        <charset val="129"/>
      </rPr>
      <t xml:space="preserve">24 / </t>
    </r>
    <r>
      <rPr>
        <sz val="10"/>
        <color rgb="FF000000"/>
        <rFont val="WenQuanYi Zen Hei"/>
        <family val="2"/>
      </rPr>
      <t xml:space="preserve">출력 </t>
    </r>
    <r>
      <rPr>
        <sz val="10"/>
        <color rgb="FF000000"/>
        <rFont val="맑은 고딕"/>
        <family val="3"/>
        <charset val="129"/>
      </rPr>
      <t xml:space="preserve">16 = </t>
    </r>
    <r>
      <rPr>
        <sz val="10"/>
        <color rgb="FF000000"/>
        <rFont val="WenQuanYi Zen Hei"/>
        <family val="2"/>
      </rPr>
      <t xml:space="preserve">릴레이 </t>
    </r>
    <r>
      <rPr>
        <sz val="10"/>
        <color rgb="FF000000"/>
        <rFont val="맑은 고딕"/>
        <family val="3"/>
        <charset val="129"/>
      </rPr>
      <t xml:space="preserve">12 + TR 4)</t>
    </r>
  </si>
  <si>
    <t xml:space="preserve">-</t>
  </si>
  <si>
    <t xml:space="preserve">디지털 입력 16점</t>
  </si>
  <si>
    <t xml:space="preserve">TM3DI8</t>
  </si>
  <si>
    <t xml:space="preserve">디지털 입력 8점</t>
  </si>
  <si>
    <t xml:space="preserve">TM3DQ16R</t>
  </si>
  <si>
    <t xml:space="preserve">릴레이 출력 16점</t>
  </si>
  <si>
    <t xml:space="preserve">트랜지스터 출력 16점</t>
  </si>
  <si>
    <t xml:space="preserve">TM3DQ16U</t>
  </si>
  <si>
    <t xml:space="preserve">트랜지스터 출력 16점 (Sink)</t>
  </si>
  <si>
    <t xml:space="preserve">TM3DQ8R</t>
  </si>
  <si>
    <t xml:space="preserve">릴레이 출력 8점</t>
  </si>
  <si>
    <t xml:space="preserve">트랜지스터 출력 8점</t>
  </si>
  <si>
    <t xml:space="preserve">TM3DQ8U</t>
  </si>
  <si>
    <t xml:space="preserve">트랜지스터 출력 8점 (Sink)</t>
  </si>
  <si>
    <t xml:space="preserve">TM3AI2H</t>
  </si>
  <si>
    <t xml:space="preserve">아날로그 입력 2CH</t>
  </si>
  <si>
    <t xml:space="preserve">TM3AI4</t>
  </si>
  <si>
    <t xml:space="preserve">아날로그 입력 4CH</t>
  </si>
  <si>
    <t xml:space="preserve">TM3AI8</t>
  </si>
  <si>
    <t xml:space="preserve">아날로그 입력 8CH</t>
  </si>
  <si>
    <t xml:space="preserve">아날로그 출력 2CH</t>
  </si>
  <si>
    <t xml:space="preserve">아날로그 출력 4CH</t>
  </si>
  <si>
    <r>
      <rPr>
        <sz val="10"/>
        <color rgb="FF000000"/>
        <rFont val="맑은 고딕"/>
        <family val="3"/>
        <charset val="129"/>
      </rPr>
      <t xml:space="preserve">CPU + </t>
    </r>
    <r>
      <rPr>
        <sz val="10"/>
        <color rgb="FF000000"/>
        <rFont val="WenQuanYi Zen Hei"/>
        <family val="2"/>
      </rPr>
      <t xml:space="preserve">이더넷 </t>
    </r>
    <r>
      <rPr>
        <sz val="10"/>
        <color rgb="FF000000"/>
        <rFont val="맑은 고딕"/>
        <family val="3"/>
        <charset val="129"/>
      </rPr>
      <t xml:space="preserve">(</t>
    </r>
    <r>
      <rPr>
        <sz val="10"/>
        <color rgb="FF000000"/>
        <rFont val="WenQuanYi Zen Hei"/>
        <family val="2"/>
      </rPr>
      <t xml:space="preserve">입력 </t>
    </r>
    <r>
      <rPr>
        <sz val="10"/>
        <color rgb="FF000000"/>
        <rFont val="맑은 고딕"/>
        <family val="3"/>
        <charset val="129"/>
      </rPr>
      <t xml:space="preserve">24 / </t>
    </r>
    <r>
      <rPr>
        <sz val="10"/>
        <color rgb="FF000000"/>
        <rFont val="WenQuanYi Zen Hei"/>
        <family val="2"/>
      </rPr>
      <t xml:space="preserve">출력 </t>
    </r>
    <r>
      <rPr>
        <sz val="10"/>
        <color rgb="FF000000"/>
        <rFont val="맑은 고딕"/>
        <family val="3"/>
        <charset val="129"/>
      </rPr>
      <t xml:space="preserve">16)</t>
    </r>
  </si>
  <si>
    <r>
      <rPr>
        <sz val="10"/>
        <color rgb="FF000000"/>
        <rFont val="맑은 고딕"/>
        <family val="3"/>
        <charset val="129"/>
      </rPr>
      <t xml:space="preserve">TM3 </t>
    </r>
    <r>
      <rPr>
        <sz val="10"/>
        <color rgb="FF000000"/>
        <rFont val="WenQuanYi Zen Hei"/>
        <family val="2"/>
      </rPr>
      <t xml:space="preserve">버스 확장 송신</t>
    </r>
  </si>
  <si>
    <r>
      <rPr>
        <sz val="10"/>
        <color rgb="FF000000"/>
        <rFont val="맑은 고딕"/>
        <family val="3"/>
        <charset val="129"/>
      </rPr>
      <t xml:space="preserve">TM3 </t>
    </r>
    <r>
      <rPr>
        <sz val="10"/>
        <color rgb="FF000000"/>
        <rFont val="WenQuanYi Zen Hei"/>
        <family val="2"/>
      </rPr>
      <t xml:space="preserve">버스 확장 수신</t>
    </r>
  </si>
  <si>
    <r>
      <rPr>
        <sz val="8"/>
        <color rgb="FF7F7F7F"/>
        <rFont val="맑은 고딕"/>
        <family val="3"/>
        <charset val="129"/>
      </rPr>
      <t xml:space="preserve">※ 1~18</t>
    </r>
    <r>
      <rPr>
        <sz val="8"/>
        <color rgb="FF7F7F7F"/>
        <rFont val="WenQuanYi Zen Hei"/>
        <family val="2"/>
      </rPr>
      <t xml:space="preserve">번 기존 견적</t>
    </r>
    <r>
      <rPr>
        <sz val="8"/>
        <color rgb="FF7F7F7F"/>
        <rFont val="맑은 고딕"/>
        <family val="3"/>
        <charset val="129"/>
      </rPr>
      <t xml:space="preserve">, 19~21</t>
    </r>
    <r>
      <rPr>
        <sz val="8"/>
        <color rgb="FF7F7F7F"/>
        <rFont val="WenQuanYi Zen Hei"/>
        <family val="2"/>
      </rPr>
      <t xml:space="preserve">번</t>
    </r>
    <r>
      <rPr>
        <sz val="8"/>
        <color rgb="FF7F7F7F"/>
        <rFont val="맑은 고딕"/>
        <family val="3"/>
        <charset val="129"/>
      </rPr>
      <t xml:space="preserve">(TM241CE40T · TM3XTRA1 · TM3XREC1)</t>
    </r>
    <r>
      <rPr>
        <sz val="8"/>
        <color rgb="FF7F7F7F"/>
        <rFont val="WenQuanYi Zen Hei"/>
        <family val="2"/>
      </rPr>
      <t xml:space="preserve">은 </t>
    </r>
    <r>
      <rPr>
        <sz val="8"/>
        <color rgb="FF7F7F7F"/>
        <rFont val="맑은 고딕"/>
        <family val="3"/>
        <charset val="129"/>
      </rPr>
      <t xml:space="preserve">2026-10-06 </t>
    </r>
    <r>
      <rPr>
        <sz val="8"/>
        <color rgb="FF7F7F7F"/>
        <rFont val="WenQuanYi Zen Hei"/>
        <family val="2"/>
      </rPr>
      <t xml:space="preserve">추가 견적</t>
    </r>
    <r>
      <rPr>
        <sz val="8"/>
        <color rgb="FF7F7F7F"/>
        <rFont val="맑은 고딕"/>
        <family val="3"/>
        <charset val="129"/>
      </rPr>
      <t xml:space="preserve">.  </t>
    </r>
    <r>
      <rPr>
        <sz val="8"/>
        <color rgb="FF7F7F7F"/>
        <rFont val="WenQuanYi Zen Hei"/>
        <family val="2"/>
      </rPr>
      <t xml:space="preserve">참고 </t>
    </r>
    <r>
      <rPr>
        <sz val="8"/>
        <color rgb="FF7F7F7F"/>
        <rFont val="맑은 고딕"/>
        <family val="3"/>
        <charset val="129"/>
      </rPr>
      <t xml:space="preserve">NP: 579,600 / 98,280 / 116,550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</si>
</sst>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-#,##0;\-"/>
    <numFmt numFmtId="166" formatCode="#,##0_ "/>
    <numFmt numFmtId="167" formatCode="0.0%"/>
    <numFmt numFmtId="168" formatCode="\+#,##0;\-#,##0;\-"/>
    <numFmt numFmtId="169" formatCode="0.0%;\-0.0%;\-"/>
    <numFmt numFmtId="170" formatCode="0.000"/>
    <numFmt numFmtId="171" formatCode="0.00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맑은 고딕"/>
      <family val="3"/>
      <charset val="129"/>
    </font>
    <font>
      <b val="true"/>
      <sz val="16"/>
      <color rgb="FF1F3864"/>
      <name val="WenQuanYi Zen Hei"/>
      <family val="2"/>
    </font>
    <font>
      <sz val="9"/>
      <color rgb="FF595959"/>
      <name val="WenQuanYi Zen Hei"/>
      <family val="2"/>
      <charset val="1"/>
    </font>
    <font>
      <b val="true"/>
      <sz val="9"/>
      <color rgb="FF00000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FFFFFF"/>
      <name val="맑은 고딕"/>
      <family val="3"/>
      <charset val="129"/>
    </font>
    <font>
      <b val="true"/>
      <sz val="10"/>
      <color rgb="FFFFFFFF"/>
      <name val="WenQuanYi Zen Hei"/>
      <family val="2"/>
    </font>
    <font>
      <b val="true"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 val="true"/>
      <sz val="11"/>
      <color rgb="FF0000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 val="true"/>
      <sz val="10"/>
      <color rgb="FF000000"/>
      <name val="맑은 고딕"/>
      <family val="3"/>
      <charset val="129"/>
    </font>
    <font>
      <sz val="9"/>
      <color rgb="FF7F7F7F"/>
      <name val="맑은 고딕"/>
      <family val="3"/>
      <charset val="129"/>
    </font>
    <font>
      <sz val="9"/>
      <color rgb="FF7F7F7F"/>
      <name val="WenQuanYi Zen Hei"/>
      <family val="2"/>
    </font>
    <font>
      <b val="true"/>
      <sz val="10"/>
      <color rgb="FF7F7F7F"/>
      <name val="맑은 고딕"/>
      <family val="3"/>
      <charset val="129"/>
    </font>
    <font>
      <b val="true"/>
      <sz val="11"/>
      <color rgb="FF000000"/>
      <name val="WenQuanYi Zen Hei"/>
      <family val="2"/>
      <charset val="1"/>
    </font>
    <font>
      <b val="true"/>
      <sz val="12"/>
      <color rgb="FF1F3864"/>
      <name val="맑은 고딕"/>
      <family val="3"/>
      <charset val="129"/>
    </font>
    <font>
      <sz val="8"/>
      <color rgb="FF7F7F7F"/>
      <name val="맑은 고딕"/>
      <family val="3"/>
      <charset val="129"/>
    </font>
    <font>
      <sz val="8"/>
      <color rgb="FF7F7F7F"/>
      <name val="WenQuanYi Zen Hei"/>
      <family val="2"/>
    </font>
    <font>
      <b val="true"/>
      <sz val="13"/>
      <color rgb="FF1F3864"/>
      <name val="WenQuanYi Zen Hei"/>
      <family val="2"/>
      <charset val="1"/>
    </font>
    <font>
      <sz val="9"/>
      <color rgb="FF000000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375623"/>
      <name val="맑은 고딕"/>
      <family val="3"/>
      <charset val="129"/>
    </font>
    <font>
      <sz val="10"/>
      <color rgb="FF375623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WenQuanYi Zen Hei"/>
      <family val="2"/>
      <charset val="1"/>
    </font>
    <font>
      <b val="true"/>
      <sz val="10"/>
      <color rgb="FF1F3864"/>
      <name val="맑은 고딕"/>
      <family val="3"/>
      <charset val="129"/>
    </font>
    <font>
      <b val="true"/>
      <sz val="10"/>
      <color rgb="FFC00000"/>
      <name val="WenQuanYi Zen Hei"/>
      <family val="2"/>
      <charset val="1"/>
    </font>
    <font>
      <b val="true"/>
      <sz val="14"/>
      <color rgb="FF1F3864"/>
      <name val="맑은 고딕"/>
      <family val="3"/>
      <charset val="129"/>
    </font>
    <font>
      <b val="true"/>
      <sz val="14"/>
      <color rgb="FF1F3864"/>
      <name val="WenQuanYi Zen Hei"/>
      <family val="2"/>
    </font>
    <font>
      <b val="true"/>
      <sz val="12"/>
      <color rgb="FF0000FF"/>
      <name val="맑은 고딕"/>
      <family val="3"/>
      <charset val="129"/>
    </font>
    <font>
      <b val="true"/>
      <sz val="12"/>
      <color rgb="FF1F3864"/>
      <name val="WenQuanYi Zen Hei"/>
      <family val="2"/>
      <charset val="1"/>
    </font>
    <font>
      <sz val="8"/>
      <color rgb="FF7F7F7F"/>
      <name val="WenQuanYi Zen Hei"/>
      <family val="2"/>
      <charset val="1"/>
    </font>
    <font>
      <b val="true"/>
      <sz val="10"/>
      <color rgb="FFC00000"/>
      <name val="맑은 고딕"/>
      <family val="3"/>
      <charset val="129"/>
    </font>
    <font>
      <b val="true"/>
      <sz val="10"/>
      <color rgb="FF000000"/>
      <name val="WenQuanYi Zen Hei"/>
      <family val="2"/>
    </font>
    <font>
      <b val="true"/>
      <sz val="11"/>
      <color rgb="FF1F3864"/>
      <name val="맑은 고딕"/>
      <family val="3"/>
      <charset val="129"/>
    </font>
    <font>
      <b val="true"/>
      <sz val="11"/>
      <color rgb="FFC00000"/>
      <name val="맑은 고딕"/>
      <family val="3"/>
      <charset val="129"/>
    </font>
    <font>
      <sz val="9"/>
      <color rgb="FF7F7F7F"/>
      <name val="WenQuanYi Zen Hei"/>
      <family val="2"/>
      <charset val="1"/>
    </font>
    <font>
      <b val="true"/>
      <sz val="14"/>
      <color rgb="FF1F3864"/>
      <name val="WenQuanYi Zen Hei"/>
      <family val="2"/>
      <charset val="1"/>
    </font>
    <font>
      <b val="true"/>
      <sz val="13"/>
      <color rgb="FFFFFFFF"/>
      <name val="맑은 고딕"/>
      <family val="3"/>
      <charset val="129"/>
    </font>
    <font>
      <b val="true"/>
      <sz val="9"/>
      <color rgb="FF7F7F7F"/>
      <name val="맑은 고딕"/>
      <family val="3"/>
      <charset val="129"/>
    </font>
    <font>
      <sz val="9"/>
      <color rgb="FF375623"/>
      <name val="WenQuanYi Zen Hei"/>
      <family val="2"/>
      <charset val="1"/>
    </font>
    <font>
      <sz val="9"/>
      <color rgb="FFC00000"/>
      <name val="WenQuanYi Zen Hei"/>
      <family val="2"/>
      <charset val="1"/>
    </font>
    <font>
      <sz val="9"/>
      <color rgb="FF404040"/>
      <name val="맑은 고딕"/>
      <family val="3"/>
      <charset val="129"/>
    </font>
    <font>
      <sz val="9"/>
      <color rgb="FF404040"/>
      <name val="WenQuanYi Zen Hei"/>
      <family val="2"/>
      <charset val="1"/>
    </font>
    <font>
      <sz val="9"/>
      <color rgb="FF40404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맑은 고딕"/>
        <charset val="1"/>
        <family val="0"/>
        <b val="1"/>
        <color rgb="FFC00000"/>
      </font>
    </dxf>
    <dxf>
      <font>
        <name val="맑은 고딕"/>
        <charset val="1"/>
        <family val="0"/>
        <b val="1"/>
        <color rgb="FFC00000"/>
      </font>
      <fill>
        <patternFill>
          <bgColor rgb="FFF8CBAD"/>
        </patternFill>
      </fill>
    </dxf>
    <dxf>
      <font>
        <name val="맑은 고딕"/>
        <charset val="1"/>
        <family val="0"/>
        <b val="1"/>
        <color rgb="FF375623"/>
      </font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7" min="6" style="1" width="16"/>
  </cols>
  <sheetData>
    <row r="1" customFormat="false" ht="26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3" t="s">
        <v>3</v>
      </c>
    </row>
    <row r="5" customFormat="false" ht="42.75" hidden="false" customHeight="true" outlineLevel="0" collapsed="false">
      <c r="A5" s="5" t="s">
        <v>4</v>
      </c>
      <c r="B5" s="5" t="s">
        <v>5</v>
      </c>
      <c r="C5" s="5" t="s">
        <v>6</v>
      </c>
      <c r="D5" s="6" t="s">
        <v>7</v>
      </c>
      <c r="E5" s="6" t="s">
        <v>8</v>
      </c>
      <c r="F5" s="5" t="s">
        <v>9</v>
      </c>
      <c r="G5" s="5" t="s">
        <v>10</v>
      </c>
    </row>
    <row r="6" customFormat="false" ht="30" hidden="false" customHeight="true" outlineLevel="0" collapsed="false">
      <c r="A6" s="7" t="s">
        <v>11</v>
      </c>
      <c r="B6" s="8" t="s">
        <v>12</v>
      </c>
      <c r="C6" s="9" t="n">
        <v>200</v>
      </c>
      <c r="D6" s="10" t="n">
        <f aca="false">'프로젝트별 구성'!F9</f>
        <v>349200</v>
      </c>
      <c r="E6" s="10" t="n">
        <f aca="false">'프로젝트별 구성'!F11</f>
        <v>342000</v>
      </c>
      <c r="F6" s="11" t="n">
        <f aca="false">C6*D6</f>
        <v>69840000</v>
      </c>
      <c r="G6" s="11" t="n">
        <f aca="false">C6*E6</f>
        <v>68400000</v>
      </c>
    </row>
    <row r="7" customFormat="false" ht="30" hidden="false" customHeight="true" outlineLevel="0" collapsed="false">
      <c r="A7" s="7" t="s">
        <v>13</v>
      </c>
      <c r="B7" s="8" t="s">
        <v>14</v>
      </c>
      <c r="C7" s="9" t="n">
        <v>300</v>
      </c>
      <c r="D7" s="10" t="n">
        <f aca="false">'프로젝트별 구성'!F19</f>
        <v>371200</v>
      </c>
      <c r="E7" s="10" t="n">
        <f aca="false">'프로젝트별 구성'!F21</f>
        <v>361200</v>
      </c>
      <c r="F7" s="11" t="n">
        <f aca="false">C7*D7</f>
        <v>111360000</v>
      </c>
      <c r="G7" s="11" t="n">
        <f aca="false">C7*E7</f>
        <v>108360000</v>
      </c>
    </row>
    <row r="8" customFormat="false" ht="30" hidden="false" customHeight="true" outlineLevel="0" collapsed="false">
      <c r="A8" s="7" t="s">
        <v>15</v>
      </c>
      <c r="B8" s="8" t="s">
        <v>16</v>
      </c>
      <c r="C8" s="9" t="n">
        <v>50</v>
      </c>
      <c r="D8" s="10" t="n">
        <f aca="false">'프로젝트별 구성'!F30</f>
        <v>470300</v>
      </c>
      <c r="E8" s="10" t="n">
        <f aca="false">'프로젝트별 구성'!F33</f>
        <v>463100</v>
      </c>
      <c r="F8" s="11" t="n">
        <f aca="false">C8*D8</f>
        <v>23515000</v>
      </c>
      <c r="G8" s="11" t="n">
        <f aca="false">C8*E8</f>
        <v>23155000</v>
      </c>
    </row>
    <row r="9" customFormat="false" ht="30" hidden="false" customHeight="true" outlineLevel="0" collapsed="false">
      <c r="A9" s="7" t="s">
        <v>17</v>
      </c>
      <c r="B9" s="8" t="s">
        <v>18</v>
      </c>
      <c r="C9" s="9" t="n">
        <v>100</v>
      </c>
      <c r="D9" s="10" t="n">
        <f aca="false">'프로젝트별 구성'!F47</f>
        <v>1226900</v>
      </c>
      <c r="E9" s="12" t="s">
        <v>19</v>
      </c>
      <c r="F9" s="11" t="n">
        <f aca="false">C9*D9</f>
        <v>122690000</v>
      </c>
      <c r="G9" s="13" t="n">
        <f aca="false">F9</f>
        <v>122690000</v>
      </c>
    </row>
    <row r="10" customFormat="false" ht="25.5" hidden="false" customHeight="true" outlineLevel="0" collapsed="false">
      <c r="A10" s="14" t="s">
        <v>20</v>
      </c>
      <c r="B10" s="14"/>
      <c r="C10" s="15" t="n">
        <f aca="false">SUM(C6:C9)</f>
        <v>650</v>
      </c>
      <c r="D10" s="16"/>
      <c r="E10" s="16"/>
      <c r="F10" s="17" t="n">
        <f aca="false">SUM(F6:F9)</f>
        <v>327405000</v>
      </c>
      <c r="G10" s="17" t="n">
        <f aca="false">SUM(G6:G9)</f>
        <v>322605000</v>
      </c>
    </row>
    <row r="11" customFormat="false" ht="15" hidden="false" customHeight="true" outlineLevel="0" collapsed="false">
      <c r="A11" s="18" t="s">
        <v>21</v>
      </c>
    </row>
    <row r="13" customFormat="false" ht="16.5" hidden="false" customHeight="true" outlineLevel="0" collapsed="false">
      <c r="A13" s="19" t="s">
        <v>22</v>
      </c>
    </row>
    <row r="14" customFormat="false" ht="24" hidden="false" customHeight="true" outlineLevel="0" collapsed="false">
      <c r="A14" s="5" t="s">
        <v>4</v>
      </c>
      <c r="B14" s="6" t="s">
        <v>23</v>
      </c>
      <c r="C14" s="6"/>
      <c r="D14" s="6" t="s">
        <v>24</v>
      </c>
      <c r="E14" s="6"/>
      <c r="F14" s="5" t="s">
        <v>25</v>
      </c>
      <c r="G14" s="5"/>
    </row>
    <row r="15" customFormat="false" ht="19.5" hidden="false" customHeight="true" outlineLevel="0" collapsed="false">
      <c r="A15" s="20" t="s">
        <v>11</v>
      </c>
      <c r="B15" s="8" t="s">
        <v>26</v>
      </c>
      <c r="C15" s="8"/>
      <c r="D15" s="8" t="s">
        <v>27</v>
      </c>
      <c r="E15" s="8"/>
      <c r="F15" s="21" t="s">
        <v>28</v>
      </c>
      <c r="G15" s="21"/>
    </row>
    <row r="16" customFormat="false" ht="19.5" hidden="false" customHeight="true" outlineLevel="0" collapsed="false">
      <c r="A16" s="20" t="s">
        <v>13</v>
      </c>
      <c r="B16" s="8" t="s">
        <v>29</v>
      </c>
      <c r="C16" s="8"/>
      <c r="D16" s="8" t="s">
        <v>30</v>
      </c>
      <c r="E16" s="8"/>
      <c r="F16" s="21" t="s">
        <v>31</v>
      </c>
      <c r="G16" s="21"/>
    </row>
    <row r="17" customFormat="false" ht="19.5" hidden="false" customHeight="true" outlineLevel="0" collapsed="false">
      <c r="A17" s="20" t="s">
        <v>15</v>
      </c>
      <c r="B17" s="8" t="s">
        <v>32</v>
      </c>
      <c r="C17" s="8"/>
      <c r="D17" s="8" t="s">
        <v>33</v>
      </c>
      <c r="E17" s="8"/>
      <c r="F17" s="21" t="s">
        <v>34</v>
      </c>
      <c r="G17" s="21"/>
    </row>
    <row r="18" customFormat="false" ht="33.75" hidden="false" customHeight="true" outlineLevel="0" collapsed="false">
      <c r="A18" s="20" t="s">
        <v>17</v>
      </c>
      <c r="B18" s="8" t="s">
        <v>35</v>
      </c>
      <c r="C18" s="8"/>
      <c r="D18" s="12" t="s">
        <v>36</v>
      </c>
      <c r="E18" s="12"/>
      <c r="F18" s="21" t="s">
        <v>37</v>
      </c>
      <c r="G18" s="21"/>
    </row>
    <row r="20" customFormat="false" ht="16.5" hidden="false" customHeight="true" outlineLevel="0" collapsed="false">
      <c r="A20" s="19" t="s">
        <v>38</v>
      </c>
    </row>
    <row r="21" customFormat="false" ht="31.5" hidden="false" customHeight="true" outlineLevel="0" collapsed="false">
      <c r="A21" s="22" t="str">
        <f aca="false">"① 연간 구매금액: DC24V 기준 약 "&amp;TEXT(F10/100000000,"0.00")&amp;"억 원,  AC220V 기준 약 "&amp;TEXT(G10/100000000,"0.00")&amp;"억 원"</f>
        <v>① 연간 구매금액: DC24V 기준 약 3.27억 원,  AC220V 기준 약 3.23억 원</v>
      </c>
      <c r="B21" s="22"/>
      <c r="C21" s="22"/>
      <c r="D21" s="22"/>
      <c r="E21" s="22"/>
      <c r="F21" s="22"/>
      <c r="G21" s="22"/>
    </row>
    <row r="22" customFormat="false" ht="19.5" hidden="false" customHeight="true" outlineLevel="0" collapsed="false">
      <c r="A22" s="23" t="s">
        <v>39</v>
      </c>
      <c r="B22" s="23"/>
      <c r="C22" s="23"/>
      <c r="D22" s="23"/>
      <c r="E22" s="23"/>
      <c r="F22" s="23"/>
      <c r="G22" s="23"/>
    </row>
    <row r="23" customFormat="false" ht="31.5" hidden="false" customHeight="true" outlineLevel="0" collapsed="false">
      <c r="A23" s="24" t="s">
        <v>40</v>
      </c>
      <c r="B23" s="24"/>
      <c r="C23" s="24"/>
      <c r="D23" s="24"/>
      <c r="E23" s="24"/>
      <c r="F23" s="24"/>
      <c r="G23" s="24"/>
    </row>
    <row r="24" customFormat="false" ht="31.5" hidden="false" customHeight="true" outlineLevel="0" collapsed="false">
      <c r="A24" s="23" t="str">
        <f aca="false">"④ MCC 가격 (Schneider 협의 할인율 반영): 1대 "&amp;TEXT(D9,"#,##0")&amp;"원, 연간 "&amp;TEXT(F9,"#,##0")&amp;"원  — 버스 확장(TM3XTRA1/XREC1) 포함"</f>
        <v>④ MCC 가격 (Schneider 협의 할인율 반영): 1대 1,226,900원, 연간 122,690,000원  — 버스 확장(TM3XTRA1/XREC1) 포함</v>
      </c>
      <c r="B24" s="23"/>
      <c r="C24" s="23"/>
      <c r="D24" s="23"/>
      <c r="E24" s="23"/>
      <c r="F24" s="23"/>
      <c r="G24" s="23"/>
    </row>
    <row r="25" customFormat="false" ht="31.5" hidden="false" customHeight="true" outlineLevel="0" collapsed="false">
      <c r="A25" s="24" t="s">
        <v>41</v>
      </c>
      <c r="B25" s="24"/>
      <c r="C25" s="24"/>
      <c r="D25" s="24"/>
      <c r="E25" s="24"/>
      <c r="F25" s="24"/>
      <c r="G25" s="24"/>
    </row>
    <row r="26" customFormat="false" ht="31.5" hidden="false" customHeight="true" outlineLevel="0" collapsed="false">
      <c r="A26" s="24" t="str">
        <f aca="false">"⑥ CPU 할인율을 협의값 "&amp;TEXT('CPU 할인 효과'!B3,"0.00")&amp;"에서 "&amp;TEXT('CPU 할인 효과'!B4,"0.00")&amp;"까지 더 받으면 연간 약 "&amp;TEXT('CPU 할인 효과'!H13/10000,"#,##0")&amp;"만 원 추가 절감 (DC24V 기준)"</f>
        <v>⑥ CPU 할인율을 협의값 0.40에서 0.35까지 더 받으면 연간 약 2,943만 원 추가 절감 (DC24V 기준)</v>
      </c>
      <c r="B26" s="24"/>
      <c r="C26" s="24"/>
      <c r="D26" s="24"/>
      <c r="E26" s="24"/>
      <c r="F26" s="24"/>
      <c r="G26" s="24"/>
    </row>
    <row r="27" customFormat="false" ht="19.5" hidden="false" customHeight="true" outlineLevel="0" collapsed="false">
      <c r="A27" s="25" t="s">
        <v>42</v>
      </c>
      <c r="B27" s="25"/>
      <c r="C27" s="25"/>
      <c r="D27" s="25"/>
      <c r="E27" s="25"/>
      <c r="F27" s="25"/>
      <c r="G27" s="25"/>
    </row>
    <row r="28" customFormat="false" ht="21.75" hidden="false" customHeight="true" outlineLevel="0" collapsed="false">
      <c r="A28" s="26" t="str">
        <f aca="false">"⑧ LS 타겟 기준 연간 마진 (DC24V): "&amp;IF(ISNUMBER('마진 계산'!E30),TEXT('마진 계산'!E30,"#,##0")&amp;"원 (마진율 "&amp;TEXT('마진 계산'!F30,"0.0%")&amp;")  /  희망 마진("&amp;TEXT('마진 계산'!B4,"0%")&amp;")까지 연간 추가 특가 "&amp;TEXT('마진 계산'!G30,"#,##0")&amp;"원 (프로젝트별로 각각 맞출 때)  — 묶음 전체로는 "&amp;IF('마진 계산'!F30&gt;='마진 계산'!B4,"추가 특가 없이 달성","추가 특가 필요"),"LS 타겟 프라이스를 '마진 계산' 시트에 넣으면 여기에 표시됩니다")</f>
        <v>⑧ LS 타겟 기준 연간 마진 (DC24V): 114,495,000원 (마진율 25.9%)  /  희망 마진(20%)까지 연간 추가 특가 29,090,000원 (프로젝트별로 각각 맞출 때)  — 묶음 전체로는 추가 특가 없이 달성</v>
      </c>
      <c r="B28" s="26"/>
      <c r="C28" s="26"/>
      <c r="D28" s="26"/>
      <c r="E28" s="26"/>
      <c r="F28" s="26"/>
      <c r="G28" s="26"/>
    </row>
    <row r="29" customFormat="false" ht="21.75" hidden="false" customHeight="true" outlineLevel="0" collapsed="false">
      <c r="A29" s="27" t="str">
        <f aca="false">IF(NOT(ISNUMBER('마진 계산'!F14)),"⑨ MCC 마진: LS 타겟을 넣으면 표시됩니다",IF('마진 계산'!F14&lt;0,"⑨ MCC는 LS 타겟 대비 1대 "&amp;TEXT('마진 계산'!F14,"#,##0")&amp;"원 ("&amp;TEXT('마진 계산'!G14,"0.0%")&amp;"), 연 "&amp;TEXT('마진 계산'!I14,"#,##0")&amp;"원 손실 → 묶음 전체 마진("&amp;TEXT('마진 계산'!F30,"0.0%")&amp;")으로 흡수","⑨ MCC 마진: 1대 "&amp;TEXT('마진 계산'!F14,"#,##0")&amp;"원 ("&amp;TEXT('마진 계산'!G14,"0.0%")&amp;")"))</f>
        <v>⑨ MCC는 LS 타겟 대비 1대 -56,900원 (-4.9%), 연 -5,690,000원 손실 → 묶음 전체 마진(25.9%)으로 흡수</v>
      </c>
      <c r="B29" s="27"/>
      <c r="C29" s="27"/>
      <c r="D29" s="27"/>
      <c r="E29" s="27"/>
      <c r="F29" s="27"/>
      <c r="G29" s="27"/>
    </row>
  </sheetData>
  <mergeCells count="25">
    <mergeCell ref="A10:B10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30" activePane="bottomLeft" state="frozen"/>
      <selection pane="topLeft" activeCell="A1" activeCellId="0" sqref="A1"/>
      <selection pane="bottomLeft" activeCell="G31" activeCellId="0" sqref="G3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9.29"/>
    <col collapsed="false" customWidth="true" hidden="false" outlineLevel="0" max="6" min="6" style="1" width="14"/>
    <col collapsed="false" customWidth="true" hidden="false" outlineLevel="0" max="7" min="7" style="1" width="15.57"/>
    <col collapsed="false" customWidth="true" hidden="false" outlineLevel="0" max="8" min="8" style="1" width="11"/>
    <col collapsed="false" customWidth="true" hidden="false" outlineLevel="0" max="9" min="9" style="1" width="15"/>
    <col collapsed="false" customWidth="true" hidden="false" outlineLevel="0" max="10" min="10" style="28" width="24"/>
  </cols>
  <sheetData>
    <row r="1" customFormat="false" ht="20.25" hidden="false" customHeight="true" outlineLevel="0" collapsed="false">
      <c r="A1" s="29" t="s">
        <v>43</v>
      </c>
    </row>
    <row r="2" customFormat="false" ht="15" hidden="false" customHeight="true" outlineLevel="0" collapsed="false">
      <c r="A2" s="3" t="s">
        <v>44</v>
      </c>
    </row>
    <row r="4" customFormat="false" ht="17.25" hidden="false" customHeight="true" outlineLevel="0" collapsed="false">
      <c r="A4" s="30" t="s">
        <v>45</v>
      </c>
      <c r="B4" s="31" t="n">
        <v>0.2</v>
      </c>
      <c r="C4" s="3" t="s">
        <v>46</v>
      </c>
    </row>
    <row r="6" customFormat="false" ht="17.25" hidden="false" customHeight="true" outlineLevel="0" collapsed="false">
      <c r="A6" s="32" t="s">
        <v>47</v>
      </c>
    </row>
    <row r="7" customFormat="false" ht="45" hidden="false" customHeight="true" outlineLevel="0" collapsed="false">
      <c r="A7" s="5" t="s">
        <v>4</v>
      </c>
      <c r="B7" s="5" t="s">
        <v>48</v>
      </c>
      <c r="C7" s="5" t="s">
        <v>49</v>
      </c>
      <c r="D7" s="6" t="s">
        <v>50</v>
      </c>
      <c r="E7" s="5" t="s">
        <v>51</v>
      </c>
      <c r="F7" s="5" t="s">
        <v>52</v>
      </c>
      <c r="G7" s="5" t="s">
        <v>53</v>
      </c>
      <c r="H7" s="5" t="s">
        <v>54</v>
      </c>
      <c r="I7" s="5" t="s">
        <v>55</v>
      </c>
    </row>
    <row r="8" customFormat="false" ht="21.75" hidden="false" customHeight="true" outlineLevel="0" collapsed="false">
      <c r="A8" s="7" t="s">
        <v>11</v>
      </c>
      <c r="B8" s="33" t="s">
        <v>56</v>
      </c>
      <c r="C8" s="34" t="n">
        <f aca="false">요약!C6</f>
        <v>200</v>
      </c>
      <c r="D8" s="35" t="n">
        <v>494000</v>
      </c>
      <c r="E8" s="10" t="n">
        <f aca="false">'프로젝트별 구성'!F9</f>
        <v>349200</v>
      </c>
      <c r="F8" s="36" t="n">
        <f aca="false">IF(D8="","",D8-E8)</f>
        <v>144800</v>
      </c>
      <c r="G8" s="37" t="n">
        <f aca="false">IF(OR(D8="",D8=0),"",F8/D8)</f>
        <v>0.293117408906883</v>
      </c>
      <c r="H8" s="10" t="n">
        <f aca="false">IF(D8="","",C8*D8)</f>
        <v>98800000</v>
      </c>
      <c r="I8" s="36" t="n">
        <f aca="false">IF(D8="","",C8*F8)</f>
        <v>28960000</v>
      </c>
      <c r="J8" s="38" t="s">
        <v>57</v>
      </c>
    </row>
    <row r="9" customFormat="false" ht="21.75" hidden="false" customHeight="true" outlineLevel="0" collapsed="false">
      <c r="A9" s="7" t="s">
        <v>11</v>
      </c>
      <c r="B9" s="33" t="s">
        <v>24</v>
      </c>
      <c r="C9" s="34" t="n">
        <f aca="false">요약!C6</f>
        <v>200</v>
      </c>
      <c r="D9" s="35" t="n">
        <v>494000</v>
      </c>
      <c r="E9" s="10" t="n">
        <f aca="false">'프로젝트별 구성'!F11</f>
        <v>342000</v>
      </c>
      <c r="F9" s="36" t="n">
        <f aca="false">IF(D9="","",D9-E9)</f>
        <v>152000</v>
      </c>
      <c r="G9" s="37" t="n">
        <f aca="false">IF(OR(D9="",D9=0),"",F9/D9)</f>
        <v>0.307692307692308</v>
      </c>
      <c r="H9" s="10" t="n">
        <f aca="false">IF(D9="","",C9*D9)</f>
        <v>98800000</v>
      </c>
      <c r="I9" s="36" t="n">
        <f aca="false">IF(D9="","",C9*F9)</f>
        <v>30400000</v>
      </c>
    </row>
    <row r="10" customFormat="false" ht="21.75" hidden="false" customHeight="true" outlineLevel="0" collapsed="false">
      <c r="A10" s="7" t="s">
        <v>13</v>
      </c>
      <c r="B10" s="33" t="s">
        <v>56</v>
      </c>
      <c r="C10" s="34" t="n">
        <f aca="false">요약!C7</f>
        <v>300</v>
      </c>
      <c r="D10" s="35" t="n">
        <v>646000</v>
      </c>
      <c r="E10" s="10" t="n">
        <f aca="false">'프로젝트별 구성'!F19</f>
        <v>371200</v>
      </c>
      <c r="F10" s="36" t="n">
        <f aca="false">IF(D10="","",D10-E10)</f>
        <v>274800</v>
      </c>
      <c r="G10" s="37" t="n">
        <f aca="false">IF(OR(D10="",D10=0),"",F10/D10)</f>
        <v>0.425386996904025</v>
      </c>
      <c r="H10" s="10" t="n">
        <f aca="false">IF(D10="","",C10*D10)</f>
        <v>193800000</v>
      </c>
      <c r="I10" s="36" t="n">
        <f aca="false">IF(D10="","",C10*F10)</f>
        <v>82440000</v>
      </c>
    </row>
    <row r="11" customFormat="false" ht="21.75" hidden="false" customHeight="true" outlineLevel="0" collapsed="false">
      <c r="A11" s="7" t="s">
        <v>13</v>
      </c>
      <c r="B11" s="33" t="s">
        <v>24</v>
      </c>
      <c r="C11" s="34" t="n">
        <f aca="false">요약!C7</f>
        <v>300</v>
      </c>
      <c r="D11" s="35" t="n">
        <v>646000</v>
      </c>
      <c r="E11" s="10" t="n">
        <f aca="false">'프로젝트별 구성'!F21</f>
        <v>361200</v>
      </c>
      <c r="F11" s="36" t="n">
        <f aca="false">IF(D11="","",D11-E11)</f>
        <v>284800</v>
      </c>
      <c r="G11" s="37" t="n">
        <f aca="false">IF(OR(D11="",D11=0),"",F11/D11)</f>
        <v>0.440866873065016</v>
      </c>
      <c r="H11" s="10" t="n">
        <f aca="false">IF(D11="","",C11*D11)</f>
        <v>193800000</v>
      </c>
      <c r="I11" s="36" t="n">
        <f aca="false">IF(D11="","",C11*F11)</f>
        <v>85440000</v>
      </c>
    </row>
    <row r="12" customFormat="false" ht="21.75" hidden="false" customHeight="true" outlineLevel="0" collapsed="false">
      <c r="A12" s="7" t="s">
        <v>15</v>
      </c>
      <c r="B12" s="33" t="s">
        <v>56</v>
      </c>
      <c r="C12" s="34" t="n">
        <f aca="false">요약!C8</f>
        <v>50</v>
      </c>
      <c r="D12" s="35" t="n">
        <v>646000</v>
      </c>
      <c r="E12" s="10" t="n">
        <f aca="false">'프로젝트별 구성'!F30</f>
        <v>470300</v>
      </c>
      <c r="F12" s="36" t="n">
        <f aca="false">IF(D12="","",D12-E12)</f>
        <v>175700</v>
      </c>
      <c r="G12" s="37" t="n">
        <f aca="false">IF(OR(D12="",D12=0),"",F12/D12)</f>
        <v>0.271981424148607</v>
      </c>
      <c r="H12" s="10" t="n">
        <f aca="false">IF(D12="","",C12*D12)</f>
        <v>32300000</v>
      </c>
      <c r="I12" s="36" t="n">
        <f aca="false">IF(D12="","",C12*F12)</f>
        <v>8785000</v>
      </c>
    </row>
    <row r="13" customFormat="false" ht="21.75" hidden="false" customHeight="true" outlineLevel="0" collapsed="false">
      <c r="A13" s="7" t="s">
        <v>15</v>
      </c>
      <c r="B13" s="33" t="s">
        <v>24</v>
      </c>
      <c r="C13" s="34" t="n">
        <f aca="false">요약!C8</f>
        <v>50</v>
      </c>
      <c r="D13" s="35" t="n">
        <v>646000</v>
      </c>
      <c r="E13" s="10" t="n">
        <f aca="false">'프로젝트별 구성'!F33</f>
        <v>463100</v>
      </c>
      <c r="F13" s="36" t="n">
        <f aca="false">IF(D13="","",D13-E13)</f>
        <v>182900</v>
      </c>
      <c r="G13" s="37" t="n">
        <f aca="false">IF(OR(D13="",D13=0),"",F13/D13)</f>
        <v>0.28312693498452</v>
      </c>
      <c r="H13" s="10" t="n">
        <f aca="false">IF(D13="","",C13*D13)</f>
        <v>32300000</v>
      </c>
      <c r="I13" s="36" t="n">
        <f aca="false">IF(D13="","",C13*F13)</f>
        <v>9145000</v>
      </c>
    </row>
    <row r="14" customFormat="false" ht="21.75" hidden="false" customHeight="true" outlineLevel="0" collapsed="false">
      <c r="A14" s="7" t="s">
        <v>17</v>
      </c>
      <c r="B14" s="33" t="s">
        <v>56</v>
      </c>
      <c r="C14" s="34" t="n">
        <f aca="false">요약!C9</f>
        <v>100</v>
      </c>
      <c r="D14" s="35" t="n">
        <v>1170000</v>
      </c>
      <c r="E14" s="10" t="n">
        <f aca="false">'프로젝트별 구성'!F47</f>
        <v>1226900</v>
      </c>
      <c r="F14" s="36" t="n">
        <f aca="false">IF(D14="","",D14-E14)</f>
        <v>-56900</v>
      </c>
      <c r="G14" s="37" t="n">
        <f aca="false">IF(OR(D14="",D14=0),"",F14/D14)</f>
        <v>-0.0486324786324786</v>
      </c>
      <c r="H14" s="10" t="n">
        <f aca="false">IF(D14="","",C14*D14)</f>
        <v>117000000</v>
      </c>
      <c r="I14" s="36" t="n">
        <f aca="false">IF(D14="","",C14*F14)</f>
        <v>-5690000</v>
      </c>
    </row>
    <row r="15" customFormat="false" ht="15" hidden="false" customHeight="true" outlineLevel="0" collapsed="false">
      <c r="I15" s="39"/>
      <c r="K15" s="40"/>
    </row>
    <row r="17" customFormat="false" ht="17.25" hidden="false" customHeight="true" outlineLevel="0" collapsed="false">
      <c r="A17" s="32" t="s">
        <v>58</v>
      </c>
    </row>
    <row r="18" customFormat="false" ht="39.75" hidden="false" customHeight="true" outlineLevel="0" collapsed="false">
      <c r="A18" s="5" t="s">
        <v>4</v>
      </c>
      <c r="B18" s="5" t="s">
        <v>48</v>
      </c>
      <c r="C18" s="5" t="s">
        <v>59</v>
      </c>
      <c r="D18" s="5" t="s">
        <v>51</v>
      </c>
      <c r="E18" s="5" t="s">
        <v>60</v>
      </c>
      <c r="F18" s="5" t="s">
        <v>61</v>
      </c>
      <c r="G18" s="5" t="s">
        <v>62</v>
      </c>
      <c r="H18" s="5" t="s">
        <v>63</v>
      </c>
      <c r="I18" s="5" t="s">
        <v>64</v>
      </c>
      <c r="J18" s="41" t="s">
        <v>65</v>
      </c>
    </row>
    <row r="19" customFormat="false" ht="21.75" hidden="false" customHeight="true" outlineLevel="0" collapsed="false">
      <c r="A19" s="7" t="s">
        <v>11</v>
      </c>
      <c r="B19" s="33" t="s">
        <v>56</v>
      </c>
      <c r="C19" s="10" t="n">
        <f aca="false">IF(D8="","",ROUND(D8*(1-$B$4),0))</f>
        <v>395200</v>
      </c>
      <c r="D19" s="10" t="n">
        <f aca="false">E8</f>
        <v>349200</v>
      </c>
      <c r="E19" s="42" t="n">
        <f aca="false">IF(C19="","",MAX(D19-C19,0))</f>
        <v>0</v>
      </c>
      <c r="F19" s="43" t="n">
        <f aca="false">IF(C19="","",E19/D19)</f>
        <v>0</v>
      </c>
      <c r="G19" s="44" t="n">
        <f aca="false">IFERROR(D19/'프로젝트별 구성'!G9,"")</f>
        <v>0.4</v>
      </c>
      <c r="H19" s="45" t="n">
        <f aca="false">IF(C19="","",IFERROR(MIN(C19,D19)/'프로젝트별 구성'!G9,""))</f>
        <v>0.4</v>
      </c>
      <c r="I19" s="11" t="n">
        <f aca="false">IF(C19="","",E19*C8)</f>
        <v>0</v>
      </c>
      <c r="J19" s="46" t="str">
        <f aca="false">IF(C19="","타겟 입력 전",IF(E19=0,"OK — 지금 단가로 희망 마진 확보","추가 특가 필요"))</f>
        <v>OK — 지금 단가로 희망 마진 확보</v>
      </c>
    </row>
    <row r="20" customFormat="false" ht="21.75" hidden="false" customHeight="true" outlineLevel="0" collapsed="false">
      <c r="A20" s="7" t="s">
        <v>11</v>
      </c>
      <c r="B20" s="33" t="s">
        <v>24</v>
      </c>
      <c r="C20" s="10" t="n">
        <f aca="false">IF(D9="","",ROUND(D9*(1-$B$4),0))</f>
        <v>395200</v>
      </c>
      <c r="D20" s="10" t="n">
        <f aca="false">E9</f>
        <v>342000</v>
      </c>
      <c r="E20" s="42" t="n">
        <f aca="false">IF(C20="","",MAX(D20-C20,0))</f>
        <v>0</v>
      </c>
      <c r="F20" s="43" t="n">
        <f aca="false">IF(C20="","",E20/D20)</f>
        <v>0</v>
      </c>
      <c r="G20" s="44" t="n">
        <f aca="false">IFERROR(D20/'프로젝트별 구성'!G11,"")</f>
        <v>0.4</v>
      </c>
      <c r="H20" s="45" t="n">
        <f aca="false">IF(C20="","",IFERROR(MIN(C20,D20)/'프로젝트별 구성'!G11,""))</f>
        <v>0.4</v>
      </c>
      <c r="I20" s="11" t="n">
        <f aca="false">IF(C20="","",E20*C9)</f>
        <v>0</v>
      </c>
      <c r="J20" s="46" t="str">
        <f aca="false">IF(C20="","타겟 입력 전",IF(E20=0,"OK — 지금 단가로 희망 마진 확보","추가 특가 필요"))</f>
        <v>OK — 지금 단가로 희망 마진 확보</v>
      </c>
    </row>
    <row r="21" customFormat="false" ht="21.75" hidden="false" customHeight="true" outlineLevel="0" collapsed="false">
      <c r="A21" s="7" t="s">
        <v>13</v>
      </c>
      <c r="B21" s="33" t="s">
        <v>56</v>
      </c>
      <c r="C21" s="10" t="n">
        <f aca="false">IF(D10="","",ROUND(D10*(1-$B$4),0))</f>
        <v>516800</v>
      </c>
      <c r="D21" s="10" t="n">
        <f aca="false">E10</f>
        <v>371200</v>
      </c>
      <c r="E21" s="42" t="n">
        <f aca="false">IF(C21="","",MAX(D21-C21,0))</f>
        <v>0</v>
      </c>
      <c r="F21" s="43" t="n">
        <f aca="false">IF(C21="","",E21/D21)</f>
        <v>0</v>
      </c>
      <c r="G21" s="44" t="n">
        <f aca="false">IFERROR(D21/'프로젝트별 구성'!G19,"")</f>
        <v>0.4</v>
      </c>
      <c r="H21" s="45" t="n">
        <f aca="false">IF(C21="","",IFERROR(MIN(C21,D21)/'프로젝트별 구성'!G19,""))</f>
        <v>0.4</v>
      </c>
      <c r="I21" s="11" t="n">
        <f aca="false">IF(C21="","",E21*C10)</f>
        <v>0</v>
      </c>
      <c r="J21" s="46" t="str">
        <f aca="false">IF(C21="","타겟 입력 전",IF(E21=0,"OK — 지금 단가로 희망 마진 확보","추가 특가 필요"))</f>
        <v>OK — 지금 단가로 희망 마진 확보</v>
      </c>
    </row>
    <row r="22" customFormat="false" ht="21.75" hidden="false" customHeight="true" outlineLevel="0" collapsed="false">
      <c r="A22" s="7" t="s">
        <v>13</v>
      </c>
      <c r="B22" s="33" t="s">
        <v>24</v>
      </c>
      <c r="C22" s="10" t="n">
        <f aca="false">IF(D11="","",ROUND(D11*(1-$B$4),0))</f>
        <v>516800</v>
      </c>
      <c r="D22" s="10" t="n">
        <f aca="false">E11</f>
        <v>361200</v>
      </c>
      <c r="E22" s="42" t="n">
        <f aca="false">IF(C22="","",MAX(D22-C22,0))</f>
        <v>0</v>
      </c>
      <c r="F22" s="43" t="n">
        <f aca="false">IF(C22="","",E22/D22)</f>
        <v>0</v>
      </c>
      <c r="G22" s="44" t="n">
        <f aca="false">IFERROR(D22/'프로젝트별 구성'!G21,"")</f>
        <v>0.4</v>
      </c>
      <c r="H22" s="45" t="n">
        <f aca="false">IF(C22="","",IFERROR(MIN(C22,D22)/'프로젝트별 구성'!G21,""))</f>
        <v>0.4</v>
      </c>
      <c r="I22" s="11" t="n">
        <f aca="false">IF(C22="","",E22*C11)</f>
        <v>0</v>
      </c>
      <c r="J22" s="46" t="str">
        <f aca="false">IF(C22="","타겟 입력 전",IF(E22=0,"OK — 지금 단가로 희망 마진 확보","추가 특가 필요"))</f>
        <v>OK — 지금 단가로 희망 마진 확보</v>
      </c>
    </row>
    <row r="23" customFormat="false" ht="21.75" hidden="false" customHeight="true" outlineLevel="0" collapsed="false">
      <c r="A23" s="7" t="s">
        <v>15</v>
      </c>
      <c r="B23" s="33" t="s">
        <v>56</v>
      </c>
      <c r="C23" s="10" t="n">
        <f aca="false">IF(D12="","",ROUND(D12*(1-$B$4),0))</f>
        <v>516800</v>
      </c>
      <c r="D23" s="10" t="n">
        <f aca="false">E12</f>
        <v>470300</v>
      </c>
      <c r="E23" s="42" t="n">
        <f aca="false">IF(C23="","",MAX(D23-C23,0))</f>
        <v>0</v>
      </c>
      <c r="F23" s="43" t="n">
        <f aca="false">IF(C23="","",E23/D23)</f>
        <v>0</v>
      </c>
      <c r="G23" s="44" t="n">
        <f aca="false">IFERROR(D23/'프로젝트별 구성'!G30,"")</f>
        <v>0.385808039376538</v>
      </c>
      <c r="H23" s="45" t="n">
        <f aca="false">IF(C23="","",IFERROR(MIN(C23,D23)/'프로젝트별 구성'!G30,""))</f>
        <v>0.385808039376538</v>
      </c>
      <c r="I23" s="11" t="n">
        <f aca="false">IF(C23="","",E23*C12)</f>
        <v>0</v>
      </c>
      <c r="J23" s="46" t="str">
        <f aca="false">IF(C23="","타겟 입력 전",IF(E23=0,"OK — 지금 단가로 희망 마진 확보","추가 특가 필요"))</f>
        <v>OK — 지금 단가로 희망 마진 확보</v>
      </c>
    </row>
    <row r="24" customFormat="false" ht="21.75" hidden="false" customHeight="true" outlineLevel="0" collapsed="false">
      <c r="A24" s="7" t="s">
        <v>15</v>
      </c>
      <c r="B24" s="33" t="s">
        <v>24</v>
      </c>
      <c r="C24" s="10" t="n">
        <f aca="false">IF(D13="","",ROUND(D13*(1-$B$4),0))</f>
        <v>516800</v>
      </c>
      <c r="D24" s="10" t="n">
        <f aca="false">E13</f>
        <v>463100</v>
      </c>
      <c r="E24" s="42" t="n">
        <f aca="false">IF(C24="","",MAX(D24-C24,0))</f>
        <v>0</v>
      </c>
      <c r="F24" s="43" t="n">
        <f aca="false">IF(C24="","",E24/D24)</f>
        <v>0</v>
      </c>
      <c r="G24" s="44" t="n">
        <f aca="false">IFERROR(D24/'프로젝트별 구성'!G33,"")</f>
        <v>0.385595337218984</v>
      </c>
      <c r="H24" s="45" t="n">
        <f aca="false">IF(C24="","",IFERROR(MIN(C24,D24)/'프로젝트별 구성'!G33,""))</f>
        <v>0.385595337218984</v>
      </c>
      <c r="I24" s="11" t="n">
        <f aca="false">IF(C24="","",E24*C13)</f>
        <v>0</v>
      </c>
      <c r="J24" s="46" t="str">
        <f aca="false">IF(C24="","타겟 입력 전",IF(E24=0,"OK — 지금 단가로 희망 마진 확보","추가 특가 필요"))</f>
        <v>OK — 지금 단가로 희망 마진 확보</v>
      </c>
    </row>
    <row r="25" customFormat="false" ht="21.75" hidden="false" customHeight="true" outlineLevel="0" collapsed="false">
      <c r="A25" s="7" t="s">
        <v>17</v>
      </c>
      <c r="B25" s="33" t="s">
        <v>56</v>
      </c>
      <c r="C25" s="10" t="n">
        <f aca="false">IF(D14="","",ROUND(D14*(1-$B$4),0))</f>
        <v>936000</v>
      </c>
      <c r="D25" s="10" t="n">
        <f aca="false">E14</f>
        <v>1226900</v>
      </c>
      <c r="E25" s="42" t="n">
        <f aca="false">IF(C25="","",MAX(D25-C25,0))</f>
        <v>290900</v>
      </c>
      <c r="F25" s="43" t="n">
        <f aca="false">IF(C25="","",E25/D25)</f>
        <v>0.237101638275328</v>
      </c>
      <c r="G25" s="44" t="n">
        <f aca="false">IFERROR(D25/'프로젝트별 구성'!G47,"")</f>
        <v>0.363633669235329</v>
      </c>
      <c r="H25" s="45" t="n">
        <f aca="false">IF(C25="","",IFERROR(MIN(C25,D25)/'프로젝트별 구성'!G47,""))</f>
        <v>0.277415530527564</v>
      </c>
      <c r="I25" s="11" t="n">
        <f aca="false">IF(C25="","",E25*C14)</f>
        <v>29090000</v>
      </c>
      <c r="J25" s="46" t="str">
        <f aca="false">IF(C25="","타겟 입력 전",IF(E25=0,"OK — 지금 단가로 희망 마진 확보","추가 특가 필요"))</f>
        <v>추가 특가 필요</v>
      </c>
    </row>
    <row r="26" customFormat="false" ht="15" hidden="false" customHeight="true" outlineLevel="0" collapsed="false">
      <c r="A26" s="47" t="s">
        <v>66</v>
      </c>
    </row>
    <row r="28" customFormat="false" ht="17.25" hidden="false" customHeight="true" outlineLevel="0" collapsed="false">
      <c r="A28" s="32" t="s">
        <v>67</v>
      </c>
    </row>
    <row r="29" customFormat="false" ht="36" hidden="false" customHeight="true" outlineLevel="0" collapsed="false">
      <c r="A29" s="5" t="s">
        <v>68</v>
      </c>
      <c r="B29" s="5"/>
      <c r="C29" s="5" t="s">
        <v>69</v>
      </c>
      <c r="D29" s="5" t="s">
        <v>54</v>
      </c>
      <c r="E29" s="5" t="s">
        <v>55</v>
      </c>
      <c r="F29" s="5" t="s">
        <v>53</v>
      </c>
      <c r="G29" s="5" t="s">
        <v>70</v>
      </c>
    </row>
    <row r="30" customFormat="false" ht="25.5" hidden="false" customHeight="true" outlineLevel="0" collapsed="false">
      <c r="A30" s="48" t="s">
        <v>71</v>
      </c>
      <c r="B30" s="48"/>
      <c r="C30" s="10" t="n">
        <f aca="false">C8*E8+C10*E10+C12*E12+C14*E14</f>
        <v>327405000</v>
      </c>
      <c r="D30" s="10" t="n">
        <f aca="false">IF((D8="")+(D10="")+(D12="")+(D14="")&gt;0,"타겟 "&amp;((D8="")+(D10="")+(D12="")+(D14=""))&amp;"건 미입력",H8+H10+H12+H14)</f>
        <v>441900000</v>
      </c>
      <c r="E30" s="49" t="n">
        <f aca="false">IF(ISNUMBER(D30),D30-C30,"")</f>
        <v>114495000</v>
      </c>
      <c r="F30" s="50" t="n">
        <f aca="false">IF(ISNUMBER(D30),E30/D30,"")</f>
        <v>0.259097080787509</v>
      </c>
      <c r="G30" s="51" t="n">
        <f aca="false">IF(ISNUMBER(D30),I19+I21+I23+I25,"")</f>
        <v>29090000</v>
      </c>
    </row>
    <row r="31" customFormat="false" ht="25.5" hidden="false" customHeight="true" outlineLevel="0" collapsed="false">
      <c r="A31" s="48" t="s">
        <v>72</v>
      </c>
      <c r="B31" s="48"/>
      <c r="C31" s="10" t="n">
        <f aca="false">C9*E9+C11*E11+C13*E13+C14*E14</f>
        <v>322605000</v>
      </c>
      <c r="D31" s="10" t="n">
        <f aca="false">IF((D9="")+(D11="")+(D13="")+(D14="")&gt;0,"타겟 "&amp;((D9="")+(D11="")+(D13="")+(D14=""))&amp;"건 미입력",H9+H11+H13+H14)</f>
        <v>441900000</v>
      </c>
      <c r="E31" s="49" t="n">
        <f aca="false">IF(ISNUMBER(D31),D31-C31,"")</f>
        <v>119295000</v>
      </c>
      <c r="F31" s="50" t="n">
        <f aca="false">IF(ISNUMBER(D31),E31/D31,"")</f>
        <v>0.269959266802444</v>
      </c>
      <c r="G31" s="51" t="n">
        <f aca="false">IF(ISNUMBER(D31),I20+I22+I24+I25,"")</f>
        <v>29090000</v>
      </c>
    </row>
    <row r="33" customFormat="false" ht="15" hidden="false" customHeight="true" outlineLevel="0" collapsed="false">
      <c r="A33" s="52" t="s">
        <v>73</v>
      </c>
    </row>
    <row r="34" customFormat="false" ht="15" hidden="false" customHeight="true" outlineLevel="0" collapsed="false">
      <c r="A34" s="53" t="s">
        <v>74</v>
      </c>
    </row>
    <row r="35" customFormat="false" ht="15" hidden="false" customHeight="true" outlineLevel="0" collapsed="false">
      <c r="A35" s="53" t="s">
        <v>75</v>
      </c>
    </row>
  </sheetData>
  <mergeCells count="3">
    <mergeCell ref="A29:B29"/>
    <mergeCell ref="A30:B30"/>
    <mergeCell ref="A31:B31"/>
  </mergeCells>
  <conditionalFormatting sqref="F8:I14">
    <cfRule type="expression" priority="2" aboveAverage="0" equalAverage="0" bottom="0" percent="0" rank="0" text="" dxfId="0">
      <formula>AND(ISNUMBER(F8),F8&lt;0)</formula>
    </cfRule>
  </conditionalFormatting>
  <conditionalFormatting sqref="J19:J25">
    <cfRule type="expression" priority="3" aboveAverage="0" equalAverage="0" bottom="0" percent="0" rank="0" text="" dxfId="1">
      <formula>J19="추가 특가 필요"</formula>
    </cfRule>
    <cfRule type="expression" priority="4" aboveAverage="0" equalAverage="0" bottom="0" percent="0" rank="0" text="" dxfId="2">
      <formula>LEFT(J19,2)="OK"</formula>
    </cfRule>
  </conditionalFormatting>
  <conditionalFormatting sqref="E30:F31">
    <cfRule type="expression" priority="5" aboveAverage="0" equalAverage="0" bottom="0" percent="0" rank="0" text="" dxfId="0">
      <formula>AND(ISNUMBER(E30),E30&lt;0)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6" activeCellId="0" sqref="C46"/>
    </sheetView>
  </sheetViews>
  <sheetFormatPr defaultColWidth="8.5742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4"/>
    <col collapsed="false" customWidth="true" hidden="false" outlineLevel="0" max="4" min="4" style="1" width="7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3"/>
  </cols>
  <sheetData>
    <row r="1" customFormat="false" ht="20.25" hidden="false" customHeight="true" outlineLevel="0" collapsed="false">
      <c r="A1" s="54" t="s">
        <v>76</v>
      </c>
    </row>
    <row r="2" customFormat="false" ht="15" hidden="false" customHeight="true" outlineLevel="0" collapsed="false">
      <c r="A2" s="3" t="s">
        <v>77</v>
      </c>
    </row>
    <row r="4" customFormat="false" ht="24" hidden="false" customHeight="true" outlineLevel="0" collapsed="false">
      <c r="A4" s="55" t="s">
        <v>11</v>
      </c>
      <c r="B4" s="55"/>
      <c r="C4" s="55"/>
      <c r="D4" s="55"/>
      <c r="E4" s="55"/>
      <c r="F4" s="55"/>
      <c r="G4" s="55"/>
    </row>
    <row r="5" customFormat="false" ht="15" hidden="false" customHeight="true" outlineLevel="0" collapsed="false">
      <c r="A5" s="30" t="s">
        <v>78</v>
      </c>
      <c r="B5" s="56" t="s">
        <v>12</v>
      </c>
      <c r="C5" s="56"/>
      <c r="D5" s="56"/>
      <c r="E5" s="56"/>
      <c r="F5" s="56"/>
      <c r="G5" s="56"/>
    </row>
    <row r="6" customFormat="false" ht="15" hidden="false" customHeight="true" outlineLevel="0" collapsed="false">
      <c r="A6" s="30" t="s">
        <v>79</v>
      </c>
      <c r="B6" s="57" t="s">
        <v>80</v>
      </c>
      <c r="C6" s="57"/>
      <c r="D6" s="57"/>
      <c r="E6" s="57"/>
      <c r="F6" s="57"/>
      <c r="G6" s="57"/>
    </row>
    <row r="7" customFormat="false" ht="21.75" hidden="false" customHeight="true" outlineLevel="0" collapsed="false">
      <c r="A7" s="5" t="s">
        <v>48</v>
      </c>
      <c r="B7" s="5" t="s">
        <v>81</v>
      </c>
      <c r="C7" s="5" t="s">
        <v>82</v>
      </c>
      <c r="D7" s="5" t="s">
        <v>83</v>
      </c>
      <c r="E7" s="5" t="s">
        <v>84</v>
      </c>
      <c r="F7" s="5" t="s">
        <v>85</v>
      </c>
      <c r="G7" s="5" t="s">
        <v>86</v>
      </c>
    </row>
    <row r="8" customFormat="false" ht="15" hidden="false" customHeight="true" outlineLevel="0" collapsed="false">
      <c r="A8" s="33" t="s">
        <v>87</v>
      </c>
      <c r="B8" s="58" t="s">
        <v>26</v>
      </c>
      <c r="C8" s="59" t="str">
        <f aca="false">VLOOKUP(B8,단가표!$B$5:$G$25,3,FALSE())</f>
        <v>CPU (입력 14 / 출력 10)</v>
      </c>
      <c r="D8" s="33" t="n">
        <v>1</v>
      </c>
      <c r="E8" s="10" t="n">
        <f aca="false">VLOOKUP(B8,단가표!$B$5:$G$25,6,FALSE())</f>
        <v>349200</v>
      </c>
      <c r="F8" s="10" t="n">
        <f aca="false">D8*E8</f>
        <v>349200</v>
      </c>
      <c r="G8" s="60" t="n">
        <f aca="false">D8*VLOOKUP(B8,단가표!$B$5:$G$25,4,FALSE())</f>
        <v>873000</v>
      </c>
    </row>
    <row r="9" customFormat="false" ht="16.5" hidden="false" customHeight="true" outlineLevel="0" collapsed="false">
      <c r="A9" s="61" t="s">
        <v>88</v>
      </c>
      <c r="B9" s="61"/>
      <c r="C9" s="61"/>
      <c r="D9" s="61"/>
      <c r="E9" s="61"/>
      <c r="F9" s="62" t="n">
        <f aca="false">SUM(F8:F8)</f>
        <v>349200</v>
      </c>
      <c r="G9" s="63" t="n">
        <f aca="false">SUM(G8:G8)</f>
        <v>873000</v>
      </c>
    </row>
    <row r="10" customFormat="false" ht="27" hidden="false" customHeight="true" outlineLevel="0" collapsed="false">
      <c r="A10" s="33" t="s">
        <v>24</v>
      </c>
      <c r="B10" s="58" t="s">
        <v>27</v>
      </c>
      <c r="C10" s="59" t="str">
        <f aca="false">VLOOKUP(B10,단가표!$B$5:$G$25,3,FALSE())</f>
        <v>CPU (입력 14 / 출력 10 = 릴레이 6 + TR 4)</v>
      </c>
      <c r="D10" s="33" t="n">
        <v>1</v>
      </c>
      <c r="E10" s="10" t="n">
        <f aca="false">VLOOKUP(B10,단가표!$B$5:$G$25,6,FALSE())</f>
        <v>342000</v>
      </c>
      <c r="F10" s="10" t="n">
        <f aca="false">D10*E10</f>
        <v>342000</v>
      </c>
      <c r="G10" s="60" t="n">
        <f aca="false">D10*VLOOKUP(B10,단가표!$B$5:$G$25,4,FALSE())</f>
        <v>855000</v>
      </c>
    </row>
    <row r="11" customFormat="false" ht="16.5" hidden="false" customHeight="true" outlineLevel="0" collapsed="false">
      <c r="A11" s="61" t="s">
        <v>89</v>
      </c>
      <c r="B11" s="61"/>
      <c r="C11" s="61"/>
      <c r="D11" s="61"/>
      <c r="E11" s="61"/>
      <c r="F11" s="62" t="n">
        <f aca="false">SUM(F10:F10)</f>
        <v>342000</v>
      </c>
      <c r="G11" s="63" t="n">
        <f aca="false">SUM(G10:G10)</f>
        <v>855000</v>
      </c>
    </row>
    <row r="12" customFormat="false" ht="18" hidden="false" customHeight="true" outlineLevel="0" collapsed="false">
      <c r="A12" s="64" t="s">
        <v>90</v>
      </c>
      <c r="B12" s="64"/>
      <c r="C12" s="64"/>
      <c r="D12" s="64"/>
      <c r="E12" s="64"/>
      <c r="F12" s="64"/>
      <c r="G12" s="64"/>
    </row>
    <row r="14" customFormat="false" ht="24" hidden="false" customHeight="true" outlineLevel="0" collapsed="false">
      <c r="A14" s="55" t="s">
        <v>13</v>
      </c>
      <c r="B14" s="55"/>
      <c r="C14" s="55"/>
      <c r="D14" s="55"/>
      <c r="E14" s="55"/>
      <c r="F14" s="55"/>
      <c r="G14" s="55"/>
    </row>
    <row r="15" customFormat="false" ht="15" hidden="false" customHeight="true" outlineLevel="0" collapsed="false">
      <c r="A15" s="30" t="s">
        <v>78</v>
      </c>
      <c r="B15" s="56" t="s">
        <v>14</v>
      </c>
      <c r="C15" s="56"/>
      <c r="D15" s="56"/>
      <c r="E15" s="56"/>
      <c r="F15" s="56"/>
      <c r="G15" s="56"/>
    </row>
    <row r="16" customFormat="false" ht="15" hidden="false" customHeight="true" outlineLevel="0" collapsed="false">
      <c r="A16" s="30" t="s">
        <v>79</v>
      </c>
      <c r="B16" s="57" t="s">
        <v>91</v>
      </c>
      <c r="C16" s="57"/>
      <c r="D16" s="57"/>
      <c r="E16" s="57"/>
      <c r="F16" s="57"/>
      <c r="G16" s="57"/>
    </row>
    <row r="17" customFormat="false" ht="21.75" hidden="false" customHeight="true" outlineLevel="0" collapsed="false">
      <c r="A17" s="5" t="s">
        <v>48</v>
      </c>
      <c r="B17" s="5" t="s">
        <v>81</v>
      </c>
      <c r="C17" s="5" t="s">
        <v>82</v>
      </c>
      <c r="D17" s="5" t="s">
        <v>83</v>
      </c>
      <c r="E17" s="5" t="s">
        <v>84</v>
      </c>
      <c r="F17" s="5" t="s">
        <v>85</v>
      </c>
      <c r="G17" s="5" t="s">
        <v>86</v>
      </c>
    </row>
    <row r="18" customFormat="false" ht="15" hidden="false" customHeight="true" outlineLevel="0" collapsed="false">
      <c r="A18" s="33" t="s">
        <v>87</v>
      </c>
      <c r="B18" s="58" t="s">
        <v>29</v>
      </c>
      <c r="C18" s="59" t="str">
        <f aca="false">VLOOKUP(B18,단가표!$B$5:$G$25,3,FALSE())</f>
        <v>CPU (입력 24 / 출력 16)</v>
      </c>
      <c r="D18" s="33" t="n">
        <v>1</v>
      </c>
      <c r="E18" s="10" t="n">
        <f aca="false">VLOOKUP(B18,단가표!$B$5:$G$25,6,FALSE())</f>
        <v>371200</v>
      </c>
      <c r="F18" s="10" t="n">
        <f aca="false">D18*E18</f>
        <v>371200</v>
      </c>
      <c r="G18" s="60" t="n">
        <f aca="false">D18*VLOOKUP(B18,단가표!$B$5:$G$25,4,FALSE())</f>
        <v>928000</v>
      </c>
    </row>
    <row r="19" customFormat="false" ht="16.5" hidden="false" customHeight="true" outlineLevel="0" collapsed="false">
      <c r="A19" s="61" t="s">
        <v>88</v>
      </c>
      <c r="B19" s="61"/>
      <c r="C19" s="61"/>
      <c r="D19" s="61"/>
      <c r="E19" s="61"/>
      <c r="F19" s="62" t="n">
        <f aca="false">SUM(F18:F18)</f>
        <v>371200</v>
      </c>
      <c r="G19" s="63" t="n">
        <f aca="false">SUM(G18:G18)</f>
        <v>928000</v>
      </c>
    </row>
    <row r="20" customFormat="false" ht="27" hidden="false" customHeight="true" outlineLevel="0" collapsed="false">
      <c r="A20" s="33" t="s">
        <v>24</v>
      </c>
      <c r="B20" s="58" t="s">
        <v>30</v>
      </c>
      <c r="C20" s="59" t="str">
        <f aca="false">VLOOKUP(B20,단가표!$B$5:$G$25,3,FALSE())</f>
        <v>CPU (입력 24 / 출력 16 = 릴레이 12 + TR 4)</v>
      </c>
      <c r="D20" s="33" t="n">
        <v>1</v>
      </c>
      <c r="E20" s="10" t="n">
        <f aca="false">VLOOKUP(B20,단가표!$B$5:$G$25,6,FALSE())</f>
        <v>361200</v>
      </c>
      <c r="F20" s="10" t="n">
        <f aca="false">D20*E20</f>
        <v>361200</v>
      </c>
      <c r="G20" s="60" t="n">
        <f aca="false">D20*VLOOKUP(B20,단가표!$B$5:$G$25,4,FALSE())</f>
        <v>903000</v>
      </c>
    </row>
    <row r="21" customFormat="false" ht="16.5" hidden="false" customHeight="true" outlineLevel="0" collapsed="false">
      <c r="A21" s="61" t="s">
        <v>89</v>
      </c>
      <c r="B21" s="61"/>
      <c r="C21" s="61"/>
      <c r="D21" s="61"/>
      <c r="E21" s="61"/>
      <c r="F21" s="62" t="n">
        <f aca="false">SUM(F20:F20)</f>
        <v>361200</v>
      </c>
      <c r="G21" s="63" t="n">
        <f aca="false">SUM(G20:G20)</f>
        <v>903000</v>
      </c>
    </row>
    <row r="22" customFormat="false" ht="30" hidden="false" customHeight="true" outlineLevel="0" collapsed="false">
      <c r="A22" s="65" t="s">
        <v>92</v>
      </c>
      <c r="B22" s="65"/>
      <c r="C22" s="65"/>
      <c r="D22" s="65"/>
      <c r="E22" s="65"/>
      <c r="F22" s="65"/>
      <c r="G22" s="65"/>
    </row>
    <row r="24" customFormat="false" ht="24" hidden="false" customHeight="true" outlineLevel="0" collapsed="false">
      <c r="A24" s="55" t="s">
        <v>15</v>
      </c>
      <c r="B24" s="55"/>
      <c r="C24" s="55"/>
      <c r="D24" s="55"/>
      <c r="E24" s="55"/>
      <c r="F24" s="55"/>
      <c r="G24" s="55"/>
    </row>
    <row r="25" customFormat="false" ht="15" hidden="false" customHeight="true" outlineLevel="0" collapsed="false">
      <c r="A25" s="30" t="s">
        <v>78</v>
      </c>
      <c r="B25" s="56" t="s">
        <v>16</v>
      </c>
      <c r="C25" s="56"/>
      <c r="D25" s="56"/>
      <c r="E25" s="56"/>
      <c r="F25" s="56"/>
      <c r="G25" s="56"/>
    </row>
    <row r="26" customFormat="false" ht="15" hidden="false" customHeight="true" outlineLevel="0" collapsed="false">
      <c r="A26" s="30" t="s">
        <v>79</v>
      </c>
      <c r="B26" s="57" t="s">
        <v>93</v>
      </c>
      <c r="C26" s="57"/>
      <c r="D26" s="57"/>
      <c r="E26" s="57"/>
      <c r="F26" s="57"/>
      <c r="G26" s="57"/>
    </row>
    <row r="27" customFormat="false" ht="21.75" hidden="false" customHeight="true" outlineLevel="0" collapsed="false">
      <c r="A27" s="5" t="s">
        <v>48</v>
      </c>
      <c r="B27" s="5" t="s">
        <v>81</v>
      </c>
      <c r="C27" s="5" t="s">
        <v>82</v>
      </c>
      <c r="D27" s="5" t="s">
        <v>83</v>
      </c>
      <c r="E27" s="5" t="s">
        <v>84</v>
      </c>
      <c r="F27" s="5" t="s">
        <v>85</v>
      </c>
      <c r="G27" s="5" t="s">
        <v>86</v>
      </c>
    </row>
    <row r="28" customFormat="false" ht="15" hidden="false" customHeight="true" outlineLevel="0" collapsed="false">
      <c r="A28" s="33" t="s">
        <v>87</v>
      </c>
      <c r="B28" s="58" t="s">
        <v>26</v>
      </c>
      <c r="C28" s="59" t="str">
        <f aca="false">VLOOKUP(B28,단가표!$B$5:$G$25,3,FALSE())</f>
        <v>CPU (입력 14 / 출력 10)</v>
      </c>
      <c r="D28" s="33" t="n">
        <v>1</v>
      </c>
      <c r="E28" s="10" t="n">
        <f aca="false">VLOOKUP(B28,단가표!$B$5:$G$25,6,FALSE())</f>
        <v>349200</v>
      </c>
      <c r="F28" s="10" t="n">
        <f aca="false">D28*E28</f>
        <v>349200</v>
      </c>
      <c r="G28" s="60" t="n">
        <f aca="false">D28*VLOOKUP(B28,단가표!$B$5:$G$25,4,FALSE())</f>
        <v>873000</v>
      </c>
    </row>
    <row r="29" customFormat="false" ht="15" hidden="false" customHeight="true" outlineLevel="0" collapsed="false">
      <c r="A29" s="33"/>
      <c r="B29" s="58" t="s">
        <v>94</v>
      </c>
      <c r="C29" s="59" t="str">
        <f aca="false">VLOOKUP(B29,단가표!$B$5:$G$25,3,FALSE())</f>
        <v>아날로그 출력 2CH</v>
      </c>
      <c r="D29" s="33" t="n">
        <v>1</v>
      </c>
      <c r="E29" s="10" t="n">
        <f aca="false">VLOOKUP(B29,단가표!$B$5:$G$25,6,FALSE())</f>
        <v>121100</v>
      </c>
      <c r="F29" s="10" t="n">
        <f aca="false">D29*E29</f>
        <v>121100</v>
      </c>
      <c r="G29" s="60" t="n">
        <f aca="false">D29*VLOOKUP(B29,단가표!$B$5:$G$25,4,FALSE())</f>
        <v>346000</v>
      </c>
    </row>
    <row r="30" customFormat="false" ht="16.5" hidden="false" customHeight="true" outlineLevel="0" collapsed="false">
      <c r="A30" s="61" t="s">
        <v>88</v>
      </c>
      <c r="B30" s="61"/>
      <c r="C30" s="61"/>
      <c r="D30" s="61"/>
      <c r="E30" s="61"/>
      <c r="F30" s="62" t="n">
        <f aca="false">SUM(F28:F29)</f>
        <v>470300</v>
      </c>
      <c r="G30" s="63" t="n">
        <f aca="false">SUM(G28:G29)</f>
        <v>1219000</v>
      </c>
    </row>
    <row r="31" customFormat="false" ht="27.75" hidden="false" customHeight="true" outlineLevel="0" collapsed="false">
      <c r="A31" s="33" t="s">
        <v>24</v>
      </c>
      <c r="B31" s="58" t="s">
        <v>27</v>
      </c>
      <c r="C31" s="59" t="str">
        <f aca="false">VLOOKUP(B31,단가표!$B$5:$G$25,3,FALSE())</f>
        <v>CPU (입력 14 / 출력 10 = 릴레이 6 + TR 4)</v>
      </c>
      <c r="D31" s="33" t="n">
        <v>1</v>
      </c>
      <c r="E31" s="10" t="n">
        <f aca="false">VLOOKUP(B31,단가표!$B$5:$G$25,6,FALSE())</f>
        <v>342000</v>
      </c>
      <c r="F31" s="10" t="n">
        <f aca="false">D31*E31</f>
        <v>342000</v>
      </c>
      <c r="G31" s="60" t="n">
        <f aca="false">D31*VLOOKUP(B31,단가표!$B$5:$G$25,4,FALSE())</f>
        <v>855000</v>
      </c>
    </row>
    <row r="32" customFormat="false" ht="15" hidden="false" customHeight="true" outlineLevel="0" collapsed="false">
      <c r="A32" s="33"/>
      <c r="B32" s="58" t="s">
        <v>94</v>
      </c>
      <c r="C32" s="59" t="str">
        <f aca="false">VLOOKUP(B32,단가표!$B$5:$G$25,3,FALSE())</f>
        <v>아날로그 출력 2CH</v>
      </c>
      <c r="D32" s="33" t="n">
        <v>1</v>
      </c>
      <c r="E32" s="10" t="n">
        <f aca="false">VLOOKUP(B32,단가표!$B$5:$G$25,6,FALSE())</f>
        <v>121100</v>
      </c>
      <c r="F32" s="10" t="n">
        <f aca="false">D32*E32</f>
        <v>121100</v>
      </c>
      <c r="G32" s="60" t="n">
        <f aca="false">D32*VLOOKUP(B32,단가표!$B$5:$G$25,4,FALSE())</f>
        <v>346000</v>
      </c>
    </row>
    <row r="33" customFormat="false" ht="16.5" hidden="false" customHeight="true" outlineLevel="0" collapsed="false">
      <c r="A33" s="61" t="s">
        <v>89</v>
      </c>
      <c r="B33" s="61"/>
      <c r="C33" s="61"/>
      <c r="D33" s="61"/>
      <c r="E33" s="61"/>
      <c r="F33" s="62" t="n">
        <f aca="false">SUM(F31:F32)</f>
        <v>463100</v>
      </c>
      <c r="G33" s="63" t="n">
        <f aca="false">SUM(G31:G32)</f>
        <v>1201000</v>
      </c>
    </row>
    <row r="34" customFormat="false" ht="18" hidden="false" customHeight="true" outlineLevel="0" collapsed="false">
      <c r="A34" s="64" t="s">
        <v>95</v>
      </c>
      <c r="B34" s="64"/>
      <c r="C34" s="64"/>
      <c r="D34" s="64"/>
      <c r="E34" s="64"/>
      <c r="F34" s="64"/>
      <c r="G34" s="64"/>
    </row>
    <row r="36" customFormat="false" ht="24" hidden="false" customHeight="true" outlineLevel="0" collapsed="false">
      <c r="A36" s="55" t="s">
        <v>17</v>
      </c>
      <c r="B36" s="55"/>
      <c r="C36" s="55"/>
      <c r="D36" s="55"/>
      <c r="E36" s="55"/>
      <c r="F36" s="55"/>
      <c r="G36" s="55"/>
    </row>
    <row r="37" customFormat="false" ht="15" hidden="false" customHeight="true" outlineLevel="0" collapsed="false">
      <c r="A37" s="30" t="s">
        <v>78</v>
      </c>
      <c r="B37" s="56" t="s">
        <v>18</v>
      </c>
      <c r="C37" s="56"/>
      <c r="D37" s="56"/>
      <c r="E37" s="56"/>
      <c r="F37" s="56"/>
      <c r="G37" s="56"/>
    </row>
    <row r="38" customFormat="false" ht="15" hidden="false" customHeight="true" outlineLevel="0" collapsed="false">
      <c r="A38" s="30" t="s">
        <v>79</v>
      </c>
      <c r="B38" s="56" t="s">
        <v>96</v>
      </c>
      <c r="C38" s="56"/>
      <c r="D38" s="56"/>
      <c r="E38" s="56"/>
      <c r="F38" s="56"/>
      <c r="G38" s="56"/>
    </row>
    <row r="39" customFormat="false" ht="21.75" hidden="false" customHeight="true" outlineLevel="0" collapsed="false">
      <c r="A39" s="5" t="s">
        <v>48</v>
      </c>
      <c r="B39" s="5" t="s">
        <v>81</v>
      </c>
      <c r="C39" s="5" t="s">
        <v>82</v>
      </c>
      <c r="D39" s="5" t="s">
        <v>83</v>
      </c>
      <c r="E39" s="5" t="s">
        <v>84</v>
      </c>
      <c r="F39" s="5" t="s">
        <v>85</v>
      </c>
      <c r="G39" s="5" t="s">
        <v>86</v>
      </c>
    </row>
    <row r="40" customFormat="false" ht="15" hidden="false" customHeight="true" outlineLevel="0" collapsed="false">
      <c r="A40" s="33" t="s">
        <v>97</v>
      </c>
      <c r="B40" s="58" t="s">
        <v>98</v>
      </c>
      <c r="C40" s="59" t="str">
        <f aca="false">VLOOKUP(B40,단가표!$B$5:$G$25,3,FALSE())</f>
        <v>CPU + 이더넷 (입력 24 / 출력 16)</v>
      </c>
      <c r="D40" s="33" t="n">
        <v>1</v>
      </c>
      <c r="E40" s="10" t="n">
        <f aca="false">VLOOKUP(B40,단가표!$B$5:$G$25,6,FALSE())</f>
        <v>368000</v>
      </c>
      <c r="F40" s="10" t="n">
        <f aca="false">D40*E40</f>
        <v>368000</v>
      </c>
      <c r="G40" s="60" t="n">
        <f aca="false">D40*VLOOKUP(B40,단가표!$B$5:$G$25,4,FALSE())</f>
        <v>920000</v>
      </c>
    </row>
    <row r="41" customFormat="false" ht="15" hidden="false" customHeight="true" outlineLevel="0" collapsed="false">
      <c r="A41" s="33"/>
      <c r="B41" s="58" t="s">
        <v>99</v>
      </c>
      <c r="C41" s="59" t="str">
        <f aca="false">VLOOKUP(B41,단가표!$B$5:$G$25,3,FALSE())</f>
        <v>디지털 입력 16점</v>
      </c>
      <c r="D41" s="33" t="n">
        <v>5</v>
      </c>
      <c r="E41" s="10" t="n">
        <f aca="false">VLOOKUP(B41,단가표!$B$5:$G$25,6,FALSE())</f>
        <v>79800</v>
      </c>
      <c r="F41" s="10" t="n">
        <f aca="false">D41*E41</f>
        <v>399000</v>
      </c>
      <c r="G41" s="60" t="n">
        <f aca="false">D41*VLOOKUP(B41,단가표!$B$5:$G$25,4,FALSE())</f>
        <v>1140000</v>
      </c>
    </row>
    <row r="42" customFormat="false" ht="15" hidden="false" customHeight="true" outlineLevel="0" collapsed="false">
      <c r="A42" s="33"/>
      <c r="B42" s="58" t="s">
        <v>100</v>
      </c>
      <c r="C42" s="59" t="str">
        <f aca="false">VLOOKUP(B42,단가표!$B$5:$G$25,3,FALSE())</f>
        <v>트랜지스터 출력 16점</v>
      </c>
      <c r="D42" s="33" t="n">
        <v>2</v>
      </c>
      <c r="E42" s="10" t="n">
        <f aca="false">VLOOKUP(B42,단가표!$B$5:$G$25,6,FALSE())</f>
        <v>79450</v>
      </c>
      <c r="F42" s="10" t="n">
        <f aca="false">D42*E42</f>
        <v>158900</v>
      </c>
      <c r="G42" s="60" t="n">
        <f aca="false">D42*VLOOKUP(B42,단가표!$B$5:$G$25,4,FALSE())</f>
        <v>454000</v>
      </c>
    </row>
    <row r="43" customFormat="false" ht="15" hidden="false" customHeight="true" outlineLevel="0" collapsed="false">
      <c r="A43" s="33"/>
      <c r="B43" s="58" t="s">
        <v>101</v>
      </c>
      <c r="C43" s="59" t="str">
        <f aca="false">VLOOKUP(B43,단가표!$B$5:$G$25,3,FALSE())</f>
        <v>트랜지스터 출력 8점</v>
      </c>
      <c r="D43" s="33" t="n">
        <v>1</v>
      </c>
      <c r="E43" s="10" t="n">
        <f aca="false">VLOOKUP(B43,단가표!$B$5:$G$25,6,FALSE())</f>
        <v>58800</v>
      </c>
      <c r="F43" s="10" t="n">
        <f aca="false">D43*E43</f>
        <v>58800</v>
      </c>
      <c r="G43" s="60" t="n">
        <f aca="false">D43*VLOOKUP(B43,단가표!$B$5:$G$25,4,FALSE())</f>
        <v>168000</v>
      </c>
    </row>
    <row r="44" customFormat="false" ht="15" hidden="false" customHeight="true" outlineLevel="0" collapsed="false">
      <c r="A44" s="33"/>
      <c r="B44" s="58" t="s">
        <v>102</v>
      </c>
      <c r="C44" s="59" t="str">
        <f aca="false">VLOOKUP(B44,단가표!$B$5:$G$25,3,FALSE())</f>
        <v>아날로그 출력 4CH</v>
      </c>
      <c r="D44" s="33" t="n">
        <v>1</v>
      </c>
      <c r="E44" s="10" t="n">
        <f aca="false">VLOOKUP(B44,단가표!$B$5:$G$25,6,FALSE())</f>
        <v>122850</v>
      </c>
      <c r="F44" s="10" t="n">
        <f aca="false">D44*E44</f>
        <v>122850</v>
      </c>
      <c r="G44" s="60" t="n">
        <f aca="false">D44*VLOOKUP(B44,단가표!$B$5:$G$25,4,FALSE())</f>
        <v>351000</v>
      </c>
    </row>
    <row r="45" customFormat="false" ht="15" hidden="false" customHeight="true" outlineLevel="0" collapsed="false">
      <c r="A45" s="33"/>
      <c r="B45" s="58" t="s">
        <v>103</v>
      </c>
      <c r="C45" s="59" t="str">
        <f aca="false">VLOOKUP(B45,단가표!$B$5:$G$25,3,FALSE())</f>
        <v>TM3 버스 확장 송신</v>
      </c>
      <c r="D45" s="33" t="n">
        <v>1</v>
      </c>
      <c r="E45" s="10" t="n">
        <f aca="false">VLOOKUP(B45,단가표!$B$5:$G$25,6,FALSE())</f>
        <v>54600</v>
      </c>
      <c r="F45" s="10" t="n">
        <f aca="false">D45*E45</f>
        <v>54600</v>
      </c>
      <c r="G45" s="60" t="n">
        <f aca="false">D45*VLOOKUP(B45,단가표!$B$5:$G$25,4,FALSE())</f>
        <v>156000</v>
      </c>
    </row>
    <row r="46" customFormat="false" ht="15" hidden="false" customHeight="true" outlineLevel="0" collapsed="false">
      <c r="A46" s="33"/>
      <c r="B46" s="58" t="s">
        <v>104</v>
      </c>
      <c r="C46" s="59" t="str">
        <f aca="false">VLOOKUP(B46,단가표!$B$5:$G$25,3,FALSE())</f>
        <v>TM3 버스 확장 수신</v>
      </c>
      <c r="D46" s="33" t="n">
        <v>1</v>
      </c>
      <c r="E46" s="10" t="n">
        <f aca="false">VLOOKUP(B46,단가표!$B$5:$G$25,6,FALSE())</f>
        <v>64750</v>
      </c>
      <c r="F46" s="10" t="n">
        <f aca="false">D46*E46</f>
        <v>64750</v>
      </c>
      <c r="G46" s="60" t="n">
        <f aca="false">D46*VLOOKUP(B46,단가표!$B$5:$G$25,4,FALSE())</f>
        <v>185000</v>
      </c>
    </row>
    <row r="47" customFormat="false" ht="16.5" hidden="false" customHeight="true" outlineLevel="0" collapsed="false">
      <c r="A47" s="61" t="s">
        <v>88</v>
      </c>
      <c r="B47" s="61"/>
      <c r="C47" s="61"/>
      <c r="D47" s="61"/>
      <c r="E47" s="61"/>
      <c r="F47" s="62" t="n">
        <f aca="false">SUM(F40:F46)</f>
        <v>1226900</v>
      </c>
      <c r="G47" s="63" t="n">
        <f aca="false">SUM(G40:G46)</f>
        <v>3374000</v>
      </c>
    </row>
    <row r="48" customFormat="false" ht="30" hidden="false" customHeight="true" outlineLevel="0" collapsed="false">
      <c r="A48" s="64" t="s">
        <v>105</v>
      </c>
      <c r="B48" s="64"/>
      <c r="C48" s="64"/>
      <c r="D48" s="64"/>
      <c r="E48" s="64"/>
      <c r="F48" s="64"/>
      <c r="G48" s="64"/>
    </row>
  </sheetData>
  <mergeCells count="26">
    <mergeCell ref="A4:G4"/>
    <mergeCell ref="B5:G5"/>
    <mergeCell ref="B6:G6"/>
    <mergeCell ref="A9:E9"/>
    <mergeCell ref="A11:E11"/>
    <mergeCell ref="A12:G12"/>
    <mergeCell ref="A14:G14"/>
    <mergeCell ref="B15:G15"/>
    <mergeCell ref="B16:G16"/>
    <mergeCell ref="A19:E19"/>
    <mergeCell ref="A21:E21"/>
    <mergeCell ref="A22:G22"/>
    <mergeCell ref="A24:G24"/>
    <mergeCell ref="B25:G25"/>
    <mergeCell ref="B26:G26"/>
    <mergeCell ref="A28:A29"/>
    <mergeCell ref="A30:E30"/>
    <mergeCell ref="A31:A32"/>
    <mergeCell ref="A33:E33"/>
    <mergeCell ref="A34:G34"/>
    <mergeCell ref="A36:G36"/>
    <mergeCell ref="B37:G37"/>
    <mergeCell ref="B38:G38"/>
    <mergeCell ref="A40:A46"/>
    <mergeCell ref="A47:E47"/>
    <mergeCell ref="A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12" activeCellId="0" sqref="B12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5"/>
    <col collapsed="false" customWidth="true" hidden="false" outlineLevel="0" max="8" min="8" style="1" width="30"/>
  </cols>
  <sheetData>
    <row r="1" customFormat="false" ht="20.25" hidden="false" customHeight="true" outlineLevel="0" collapsed="false">
      <c r="A1" s="54" t="s">
        <v>106</v>
      </c>
    </row>
    <row r="2" customFormat="false" ht="15" hidden="false" customHeight="true" outlineLevel="0" collapsed="false">
      <c r="A2" s="3" t="s">
        <v>107</v>
      </c>
    </row>
    <row r="4" customFormat="false" ht="36" hidden="false" customHeight="true" outlineLevel="0" collapsed="false">
      <c r="A4" s="5" t="s">
        <v>81</v>
      </c>
      <c r="B4" s="5" t="s">
        <v>82</v>
      </c>
      <c r="C4" s="5" t="s">
        <v>108</v>
      </c>
      <c r="D4" s="6" t="s">
        <v>109</v>
      </c>
      <c r="E4" s="6" t="s">
        <v>110</v>
      </c>
      <c r="F4" s="6" t="s">
        <v>111</v>
      </c>
      <c r="G4" s="6" t="s">
        <v>112</v>
      </c>
      <c r="H4" s="5" t="s">
        <v>113</v>
      </c>
    </row>
    <row r="5" customFormat="false" ht="19.5" hidden="false" customHeight="true" outlineLevel="0" collapsed="false">
      <c r="A5" s="58" t="s">
        <v>26</v>
      </c>
      <c r="B5" s="8" t="str">
        <f aca="false">VLOOKUP(A5,단가표!$B$5:$G$25,3,FALSE())</f>
        <v>CPU (입력 14 / 출력 10)</v>
      </c>
      <c r="C5" s="10" t="n">
        <f aca="false">VLOOKUP(A5,단가표!$B$5:$G$25,6,FALSE())</f>
        <v>349200</v>
      </c>
      <c r="D5" s="66" t="n">
        <f aca="false">1*요약!$C$6+1*요약!$C$8</f>
        <v>250</v>
      </c>
      <c r="E5" s="10" t="n">
        <f aca="false">C5*D5</f>
        <v>87300000</v>
      </c>
      <c r="F5" s="66" t="n">
        <v>0</v>
      </c>
      <c r="G5" s="10" t="n">
        <f aca="false">C5*F5</f>
        <v>0</v>
      </c>
      <c r="H5" s="67" t="s">
        <v>114</v>
      </c>
    </row>
    <row r="6" customFormat="false" ht="19.5" hidden="false" customHeight="true" outlineLevel="0" collapsed="false">
      <c r="A6" s="58" t="s">
        <v>27</v>
      </c>
      <c r="B6" s="8" t="str">
        <f aca="false">VLOOKUP(A6,단가표!$B$5:$G$25,3,FALSE())</f>
        <v>CPU (입력 14 / 출력 10 = 릴레이 6 + TR 4)</v>
      </c>
      <c r="C6" s="10" t="n">
        <f aca="false">VLOOKUP(A6,단가표!$B$5:$G$25,6,FALSE())</f>
        <v>342000</v>
      </c>
      <c r="D6" s="66" t="n">
        <v>0</v>
      </c>
      <c r="E6" s="10" t="n">
        <f aca="false">C6*D6</f>
        <v>0</v>
      </c>
      <c r="F6" s="66" t="n">
        <f aca="false">1*요약!$C$6+1*요약!$C$8</f>
        <v>250</v>
      </c>
      <c r="G6" s="10" t="n">
        <f aca="false">C6*F6</f>
        <v>85500000</v>
      </c>
      <c r="H6" s="67" t="s">
        <v>114</v>
      </c>
    </row>
    <row r="7" customFormat="false" ht="19.5" hidden="false" customHeight="true" outlineLevel="0" collapsed="false">
      <c r="A7" s="58" t="s">
        <v>29</v>
      </c>
      <c r="B7" s="8" t="str">
        <f aca="false">VLOOKUP(A7,단가표!$B$5:$G$25,3,FALSE())</f>
        <v>CPU (입력 24 / 출력 16)</v>
      </c>
      <c r="C7" s="10" t="n">
        <f aca="false">VLOOKUP(A7,단가표!$B$5:$G$25,6,FALSE())</f>
        <v>371200</v>
      </c>
      <c r="D7" s="66" t="n">
        <f aca="false">1*요약!$C$7</f>
        <v>300</v>
      </c>
      <c r="E7" s="10" t="n">
        <f aca="false">C7*D7</f>
        <v>111360000</v>
      </c>
      <c r="F7" s="66" t="n">
        <v>0</v>
      </c>
      <c r="G7" s="10" t="n">
        <f aca="false">C7*F7</f>
        <v>0</v>
      </c>
      <c r="H7" s="67" t="s">
        <v>13</v>
      </c>
    </row>
    <row r="8" customFormat="false" ht="19.5" hidden="false" customHeight="true" outlineLevel="0" collapsed="false">
      <c r="A8" s="58" t="s">
        <v>30</v>
      </c>
      <c r="B8" s="8" t="str">
        <f aca="false">VLOOKUP(A8,단가표!$B$5:$G$25,3,FALSE())</f>
        <v>CPU (입력 24 / 출력 16 = 릴레이 12 + TR 4)</v>
      </c>
      <c r="C8" s="10" t="n">
        <f aca="false">VLOOKUP(A8,단가표!$B$5:$G$25,6,FALSE())</f>
        <v>361200</v>
      </c>
      <c r="D8" s="66" t="n">
        <v>0</v>
      </c>
      <c r="E8" s="10" t="n">
        <f aca="false">C8*D8</f>
        <v>0</v>
      </c>
      <c r="F8" s="66" t="n">
        <f aca="false">1*요약!$C$7</f>
        <v>300</v>
      </c>
      <c r="G8" s="10" t="n">
        <f aca="false">C8*F8</f>
        <v>108360000</v>
      </c>
      <c r="H8" s="67" t="s">
        <v>13</v>
      </c>
    </row>
    <row r="9" customFormat="false" ht="19.5" hidden="false" customHeight="true" outlineLevel="0" collapsed="false">
      <c r="A9" s="58" t="s">
        <v>98</v>
      </c>
      <c r="B9" s="8" t="str">
        <f aca="false">VLOOKUP(A9,단가표!$B$5:$G$25,3,FALSE())</f>
        <v>CPU + 이더넷 (입력 24 / 출력 16)</v>
      </c>
      <c r="C9" s="42" t="n">
        <f aca="false">VLOOKUP(A9,단가표!$B$5:$G$25,6,FALSE())</f>
        <v>368000</v>
      </c>
      <c r="D9" s="66" t="n">
        <f aca="false">1*요약!$C$9</f>
        <v>100</v>
      </c>
      <c r="E9" s="10" t="n">
        <f aca="false">C9*D9</f>
        <v>36800000</v>
      </c>
      <c r="F9" s="66" t="n">
        <f aca="false">1*요약!$C$9</f>
        <v>100</v>
      </c>
      <c r="G9" s="10" t="n">
        <f aca="false">C9*F9</f>
        <v>36800000</v>
      </c>
      <c r="H9" s="67" t="s">
        <v>17</v>
      </c>
    </row>
    <row r="10" customFormat="false" ht="19.5" hidden="false" customHeight="true" outlineLevel="0" collapsed="false">
      <c r="A10" s="58" t="s">
        <v>99</v>
      </c>
      <c r="B10" s="8" t="str">
        <f aca="false">VLOOKUP(A10,단가표!$B$5:$G$25,3,FALSE())</f>
        <v>디지털 입력 16점</v>
      </c>
      <c r="C10" s="10" t="n">
        <f aca="false">VLOOKUP(A10,단가표!$B$5:$G$25,6,FALSE())</f>
        <v>79800</v>
      </c>
      <c r="D10" s="66" t="n">
        <f aca="false">5*요약!$C$9</f>
        <v>500</v>
      </c>
      <c r="E10" s="10" t="n">
        <f aca="false">C10*D10</f>
        <v>39900000</v>
      </c>
      <c r="F10" s="66" t="n">
        <f aca="false">5*요약!$C$9</f>
        <v>500</v>
      </c>
      <c r="G10" s="10" t="n">
        <f aca="false">C10*F10</f>
        <v>39900000</v>
      </c>
      <c r="H10" s="67" t="s">
        <v>115</v>
      </c>
    </row>
    <row r="11" customFormat="false" ht="19.5" hidden="false" customHeight="true" outlineLevel="0" collapsed="false">
      <c r="A11" s="58" t="s">
        <v>100</v>
      </c>
      <c r="B11" s="8" t="str">
        <f aca="false">VLOOKUP(A11,단가표!$B$5:$G$25,3,FALSE())</f>
        <v>트랜지스터 출력 16점</v>
      </c>
      <c r="C11" s="10" t="n">
        <f aca="false">VLOOKUP(A11,단가표!$B$5:$G$25,6,FALSE())</f>
        <v>79450</v>
      </c>
      <c r="D11" s="66" t="n">
        <f aca="false">2*요약!$C$9</f>
        <v>200</v>
      </c>
      <c r="E11" s="10" t="n">
        <f aca="false">C11*D11</f>
        <v>15890000</v>
      </c>
      <c r="F11" s="66" t="n">
        <f aca="false">2*요약!$C$9</f>
        <v>200</v>
      </c>
      <c r="G11" s="10" t="n">
        <f aca="false">C11*F11</f>
        <v>15890000</v>
      </c>
      <c r="H11" s="67" t="s">
        <v>116</v>
      </c>
    </row>
    <row r="12" customFormat="false" ht="19.5" hidden="false" customHeight="true" outlineLevel="0" collapsed="false">
      <c r="A12" s="58" t="s">
        <v>101</v>
      </c>
      <c r="B12" s="8" t="str">
        <f aca="false">VLOOKUP(A12,단가표!$B$5:$G$25,3,FALSE())</f>
        <v>트랜지스터 출력 8점</v>
      </c>
      <c r="C12" s="10" t="n">
        <f aca="false">VLOOKUP(A12,단가표!$B$5:$G$25,6,FALSE())</f>
        <v>58800</v>
      </c>
      <c r="D12" s="66" t="n">
        <f aca="false">1*요약!$C$9</f>
        <v>100</v>
      </c>
      <c r="E12" s="10" t="n">
        <f aca="false">C12*D12</f>
        <v>5880000</v>
      </c>
      <c r="F12" s="66" t="n">
        <f aca="false">1*요약!$C$9</f>
        <v>100</v>
      </c>
      <c r="G12" s="10" t="n">
        <f aca="false">C12*F12</f>
        <v>5880000</v>
      </c>
      <c r="H12" s="67" t="s">
        <v>17</v>
      </c>
    </row>
    <row r="13" customFormat="false" ht="19.5" hidden="false" customHeight="true" outlineLevel="0" collapsed="false">
      <c r="A13" s="58" t="s">
        <v>94</v>
      </c>
      <c r="B13" s="8" t="str">
        <f aca="false">VLOOKUP(A13,단가표!$B$5:$G$25,3,FALSE())</f>
        <v>아날로그 출력 2CH</v>
      </c>
      <c r="C13" s="10" t="n">
        <f aca="false">VLOOKUP(A13,단가표!$B$5:$G$25,6,FALSE())</f>
        <v>121100</v>
      </c>
      <c r="D13" s="66" t="n">
        <f aca="false">1*요약!$C$8</f>
        <v>50</v>
      </c>
      <c r="E13" s="10" t="n">
        <f aca="false">C13*D13</f>
        <v>6055000</v>
      </c>
      <c r="F13" s="66" t="n">
        <f aca="false">1*요약!$C$8</f>
        <v>50</v>
      </c>
      <c r="G13" s="10" t="n">
        <f aca="false">C13*F13</f>
        <v>6055000</v>
      </c>
      <c r="H13" s="67" t="s">
        <v>15</v>
      </c>
    </row>
    <row r="14" customFormat="false" ht="19.5" hidden="false" customHeight="true" outlineLevel="0" collapsed="false">
      <c r="A14" s="58" t="s">
        <v>102</v>
      </c>
      <c r="B14" s="8" t="str">
        <f aca="false">VLOOKUP(A14,단가표!$B$5:$G$25,3,FALSE())</f>
        <v>아날로그 출력 4CH</v>
      </c>
      <c r="C14" s="10" t="n">
        <f aca="false">VLOOKUP(A14,단가표!$B$5:$G$25,6,FALSE())</f>
        <v>122850</v>
      </c>
      <c r="D14" s="66" t="n">
        <f aca="false">1*요약!$C$9</f>
        <v>100</v>
      </c>
      <c r="E14" s="10" t="n">
        <f aca="false">C14*D14</f>
        <v>12285000</v>
      </c>
      <c r="F14" s="66" t="n">
        <f aca="false">1*요약!$C$9</f>
        <v>100</v>
      </c>
      <c r="G14" s="10" t="n">
        <f aca="false">C14*F14</f>
        <v>12285000</v>
      </c>
      <c r="H14" s="67" t="s">
        <v>17</v>
      </c>
    </row>
    <row r="15" customFormat="false" ht="19.5" hidden="false" customHeight="true" outlineLevel="0" collapsed="false">
      <c r="A15" s="58" t="s">
        <v>103</v>
      </c>
      <c r="B15" s="8" t="str">
        <f aca="false">VLOOKUP(A15,단가표!$B$5:$G$25,3,FALSE())</f>
        <v>TM3 버스 확장 송신</v>
      </c>
      <c r="C15" s="10" t="n">
        <f aca="false">VLOOKUP(A15,단가표!$B$5:$G$25,6,FALSE())</f>
        <v>54600</v>
      </c>
      <c r="D15" s="66" t="n">
        <f aca="false">1*요약!$C$9</f>
        <v>100</v>
      </c>
      <c r="E15" s="10" t="n">
        <f aca="false">C15*D15</f>
        <v>5460000</v>
      </c>
      <c r="F15" s="66" t="n">
        <f aca="false">1*요약!$C$9</f>
        <v>100</v>
      </c>
      <c r="G15" s="10" t="n">
        <f aca="false">C15*F15</f>
        <v>5460000</v>
      </c>
      <c r="H15" s="67" t="s">
        <v>17</v>
      </c>
    </row>
    <row r="16" customFormat="false" ht="19.5" hidden="false" customHeight="true" outlineLevel="0" collapsed="false">
      <c r="A16" s="58" t="s">
        <v>104</v>
      </c>
      <c r="B16" s="8" t="str">
        <f aca="false">VLOOKUP(A16,단가표!$B$5:$G$25,3,FALSE())</f>
        <v>TM3 버스 확장 수신</v>
      </c>
      <c r="C16" s="10" t="n">
        <f aca="false">VLOOKUP(A16,단가표!$B$5:$G$25,6,FALSE())</f>
        <v>64750</v>
      </c>
      <c r="D16" s="66" t="n">
        <f aca="false">1*요약!$C$9</f>
        <v>100</v>
      </c>
      <c r="E16" s="10" t="n">
        <f aca="false">C16*D16</f>
        <v>6475000</v>
      </c>
      <c r="F16" s="66" t="n">
        <f aca="false">1*요약!$C$9</f>
        <v>100</v>
      </c>
      <c r="G16" s="10" t="n">
        <f aca="false">C16*F16</f>
        <v>6475000</v>
      </c>
      <c r="H16" s="67" t="s">
        <v>17</v>
      </c>
    </row>
    <row r="17" customFormat="false" ht="24" hidden="false" customHeight="true" outlineLevel="0" collapsed="false">
      <c r="A17" s="14" t="s">
        <v>20</v>
      </c>
      <c r="B17" s="14"/>
      <c r="C17" s="14"/>
      <c r="D17" s="68" t="n">
        <f aca="false">SUM(D5:D16)</f>
        <v>1800</v>
      </c>
      <c r="E17" s="62" t="n">
        <f aca="false">SUM(E5:E16)</f>
        <v>327405000</v>
      </c>
      <c r="F17" s="68" t="n">
        <f aca="false">SUM(F5:F16)</f>
        <v>1800</v>
      </c>
      <c r="G17" s="62" t="n">
        <f aca="false">SUM(G5:G16)</f>
        <v>322605000</v>
      </c>
      <c r="H17" s="16"/>
    </row>
    <row r="19" customFormat="false" ht="15" hidden="false" customHeight="true" outlineLevel="0" collapsed="false">
      <c r="A19" s="69" t="s">
        <v>117</v>
      </c>
    </row>
    <row r="20" customFormat="false" ht="15" hidden="false" customHeight="true" outlineLevel="0" collapsed="false">
      <c r="A20" s="70" t="s">
        <v>118</v>
      </c>
    </row>
  </sheetData>
  <mergeCells count="1"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"/>
    <col collapsed="false" customWidth="true" hidden="false" outlineLevel="0" max="3" min="3" style="1" width="12"/>
    <col collapsed="false" customWidth="true" hidden="false" outlineLevel="0" max="5" min="4" style="1" width="13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20"/>
  </cols>
  <sheetData>
    <row r="1" customFormat="false" ht="20.25" hidden="false" customHeight="true" outlineLevel="0" collapsed="false">
      <c r="A1" s="29" t="s">
        <v>119</v>
      </c>
    </row>
    <row r="3" customFormat="false" ht="16.5" hidden="false" customHeight="true" outlineLevel="0" collapsed="false">
      <c r="A3" s="30" t="s">
        <v>120</v>
      </c>
      <c r="B3" s="71" t="n">
        <v>0.4</v>
      </c>
    </row>
    <row r="4" customFormat="false" ht="16.5" hidden="false" customHeight="true" outlineLevel="0" collapsed="false">
      <c r="A4" s="30" t="s">
        <v>121</v>
      </c>
      <c r="B4" s="71" t="n">
        <v>0.35</v>
      </c>
      <c r="C4" s="3" t="s">
        <v>122</v>
      </c>
    </row>
    <row r="6" customFormat="false" ht="33.75" hidden="false" customHeight="true" outlineLevel="0" collapsed="false">
      <c r="A6" s="6" t="s">
        <v>123</v>
      </c>
      <c r="B6" s="5" t="s">
        <v>48</v>
      </c>
      <c r="C6" s="5" t="s">
        <v>124</v>
      </c>
      <c r="D6" s="5" t="s">
        <v>125</v>
      </c>
      <c r="E6" s="5" t="s">
        <v>126</v>
      </c>
      <c r="F6" s="6" t="s">
        <v>127</v>
      </c>
      <c r="G6" s="5" t="s">
        <v>49</v>
      </c>
      <c r="H6" s="5" t="s">
        <v>128</v>
      </c>
    </row>
    <row r="7" customFormat="false" ht="15" hidden="false" customHeight="true" outlineLevel="0" collapsed="false">
      <c r="A7" s="58" t="s">
        <v>26</v>
      </c>
      <c r="B7" s="33" t="s">
        <v>129</v>
      </c>
      <c r="C7" s="10" t="n">
        <f aca="false">VLOOKUP(A7,단가표!$B$5:$G$25,4,FALSE())</f>
        <v>873000</v>
      </c>
      <c r="D7" s="10" t="n">
        <f aca="false">ROUND(C7*$B$3,0)</f>
        <v>349200</v>
      </c>
      <c r="E7" s="10" t="n">
        <f aca="false">ROUND(C7*$B$4,0)</f>
        <v>305550</v>
      </c>
      <c r="F7" s="42" t="n">
        <f aca="false">D7-E7</f>
        <v>43650</v>
      </c>
      <c r="G7" s="34" t="n">
        <f aca="false">요약!C6+요약!C8</f>
        <v>250</v>
      </c>
      <c r="H7" s="11" t="n">
        <f aca="false">F7*G7</f>
        <v>10912500</v>
      </c>
      <c r="I7" s="72" t="s">
        <v>130</v>
      </c>
    </row>
    <row r="8" customFormat="false" ht="15" hidden="false" customHeight="true" outlineLevel="0" collapsed="false">
      <c r="A8" s="58" t="s">
        <v>29</v>
      </c>
      <c r="B8" s="33" t="s">
        <v>129</v>
      </c>
      <c r="C8" s="10" t="n">
        <f aca="false">VLOOKUP(A8,단가표!$B$5:$G$25,4,FALSE())</f>
        <v>928000</v>
      </c>
      <c r="D8" s="10" t="n">
        <f aca="false">ROUND(C8*$B$3,0)</f>
        <v>371200</v>
      </c>
      <c r="E8" s="10" t="n">
        <f aca="false">ROUND(C8*$B$4,0)</f>
        <v>324800</v>
      </c>
      <c r="F8" s="42" t="n">
        <f aca="false">D8-E8</f>
        <v>46400</v>
      </c>
      <c r="G8" s="34" t="n">
        <f aca="false">요약!C7</f>
        <v>300</v>
      </c>
      <c r="H8" s="11" t="n">
        <f aca="false">F8*G8</f>
        <v>13920000</v>
      </c>
      <c r="I8" s="72" t="s">
        <v>131</v>
      </c>
    </row>
    <row r="9" customFormat="false" ht="15" hidden="false" customHeight="true" outlineLevel="0" collapsed="false">
      <c r="A9" s="58" t="s">
        <v>98</v>
      </c>
      <c r="B9" s="33" t="s">
        <v>129</v>
      </c>
      <c r="C9" s="10" t="n">
        <f aca="false">VLOOKUP(A9,단가표!$B$5:$G$25,4,FALSE())</f>
        <v>920000</v>
      </c>
      <c r="D9" s="10" t="n">
        <f aca="false">ROUND(C9*$B$3,0)</f>
        <v>368000</v>
      </c>
      <c r="E9" s="10" t="n">
        <f aca="false">ROUND(C9*$B$4,0)</f>
        <v>322000</v>
      </c>
      <c r="F9" s="42" t="n">
        <f aca="false">D9-E9</f>
        <v>46000</v>
      </c>
      <c r="G9" s="34" t="n">
        <f aca="false">요약!C9</f>
        <v>100</v>
      </c>
      <c r="H9" s="11" t="n">
        <f aca="false">F9*G9</f>
        <v>4600000</v>
      </c>
      <c r="I9" s="72" t="s">
        <v>17</v>
      </c>
    </row>
    <row r="10" customFormat="false" ht="15" hidden="false" customHeight="true" outlineLevel="0" collapsed="false">
      <c r="A10" s="58" t="s">
        <v>27</v>
      </c>
      <c r="B10" s="33" t="s">
        <v>132</v>
      </c>
      <c r="C10" s="10" t="n">
        <f aca="false">VLOOKUP(A10,단가표!$B$5:$G$25,4,FALSE())</f>
        <v>855000</v>
      </c>
      <c r="D10" s="10" t="n">
        <f aca="false">ROUND(C10*$B$3,0)</f>
        <v>342000</v>
      </c>
      <c r="E10" s="10" t="n">
        <f aca="false">ROUND(C10*$B$4,0)</f>
        <v>299250</v>
      </c>
      <c r="F10" s="42" t="n">
        <f aca="false">D10-E10</f>
        <v>42750</v>
      </c>
      <c r="G10" s="34" t="n">
        <f aca="false">요약!C6+요약!C8</f>
        <v>250</v>
      </c>
      <c r="H10" s="11" t="n">
        <f aca="false">F10*G10</f>
        <v>10687500</v>
      </c>
      <c r="I10" s="72" t="s">
        <v>133</v>
      </c>
    </row>
    <row r="11" customFormat="false" ht="15" hidden="false" customHeight="true" outlineLevel="0" collapsed="false">
      <c r="A11" s="58" t="s">
        <v>30</v>
      </c>
      <c r="B11" s="33" t="s">
        <v>132</v>
      </c>
      <c r="C11" s="10" t="n">
        <f aca="false">VLOOKUP(A11,단가표!$B$5:$G$25,4,FALSE())</f>
        <v>903000</v>
      </c>
      <c r="D11" s="10" t="n">
        <f aca="false">ROUND(C11*$B$3,0)</f>
        <v>361200</v>
      </c>
      <c r="E11" s="10" t="n">
        <f aca="false">ROUND(C11*$B$4,0)</f>
        <v>316050</v>
      </c>
      <c r="F11" s="42" t="n">
        <f aca="false">D11-E11</f>
        <v>45150</v>
      </c>
      <c r="G11" s="34" t="n">
        <f aca="false">요약!C7</f>
        <v>300</v>
      </c>
      <c r="H11" s="11" t="n">
        <f aca="false">F11*G11</f>
        <v>13545000</v>
      </c>
      <c r="I11" s="72" t="s">
        <v>134</v>
      </c>
    </row>
    <row r="13" customFormat="false" ht="24" hidden="false" customHeight="true" outlineLevel="0" collapsed="false">
      <c r="A13" s="48" t="s">
        <v>135</v>
      </c>
      <c r="B13" s="48"/>
      <c r="C13" s="48"/>
      <c r="D13" s="48"/>
      <c r="E13" s="48"/>
      <c r="F13" s="48"/>
      <c r="G13" s="48"/>
      <c r="H13" s="17" t="n">
        <f aca="false">H7+H8+H9</f>
        <v>29432500</v>
      </c>
    </row>
    <row r="14" customFormat="false" ht="24" hidden="false" customHeight="true" outlineLevel="0" collapsed="false">
      <c r="A14" s="48" t="s">
        <v>136</v>
      </c>
      <c r="B14" s="48"/>
      <c r="C14" s="48"/>
      <c r="D14" s="48"/>
      <c r="E14" s="48"/>
      <c r="F14" s="48"/>
      <c r="G14" s="48"/>
      <c r="H14" s="17" t="n">
        <f aca="false">H9+H10+H11</f>
        <v>28832500</v>
      </c>
    </row>
    <row r="16" customFormat="false" ht="15" hidden="false" customHeight="true" outlineLevel="0" collapsed="false">
      <c r="A16" s="52" t="s">
        <v>137</v>
      </c>
    </row>
  </sheetData>
  <mergeCells count="2">
    <mergeCell ref="A13:G1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31" activeCellId="0" sqref="F3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7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2"/>
  </cols>
  <sheetData>
    <row r="1" customFormat="false" ht="20.25" hidden="false" customHeight="true" outlineLevel="0" collapsed="false">
      <c r="A1" s="54" t="s">
        <v>138</v>
      </c>
    </row>
    <row r="2" customFormat="false" ht="15" hidden="false" customHeight="true" outlineLevel="0" collapsed="false">
      <c r="A2" s="3" t="s">
        <v>139</v>
      </c>
    </row>
    <row r="4" customFormat="false" ht="30" hidden="false" customHeight="true" outlineLevel="0" collapsed="false">
      <c r="A4" s="6" t="s">
        <v>140</v>
      </c>
      <c r="B4" s="5" t="s">
        <v>81</v>
      </c>
      <c r="C4" s="5" t="s">
        <v>48</v>
      </c>
      <c r="D4" s="5" t="s">
        <v>82</v>
      </c>
      <c r="E4" s="5" t="s">
        <v>124</v>
      </c>
      <c r="F4" s="5" t="s">
        <v>141</v>
      </c>
      <c r="G4" s="5" t="s">
        <v>84</v>
      </c>
    </row>
    <row r="5" customFormat="false" ht="15" hidden="false" customHeight="true" outlineLevel="0" collapsed="false">
      <c r="A5" s="33" t="n">
        <v>1</v>
      </c>
      <c r="B5" s="58" t="s">
        <v>142</v>
      </c>
      <c r="C5" s="33" t="s">
        <v>129</v>
      </c>
      <c r="D5" s="73" t="s">
        <v>143</v>
      </c>
      <c r="E5" s="10" t="n">
        <v>886000</v>
      </c>
      <c r="F5" s="74" t="n">
        <v>0.4</v>
      </c>
      <c r="G5" s="11" t="n">
        <f aca="false">ROUND(E5*F5,0)</f>
        <v>354400</v>
      </c>
    </row>
    <row r="6" customFormat="false" ht="15" hidden="false" customHeight="true" outlineLevel="0" collapsed="false">
      <c r="A6" s="33" t="n">
        <v>2</v>
      </c>
      <c r="B6" s="58" t="s">
        <v>26</v>
      </c>
      <c r="C6" s="33" t="s">
        <v>129</v>
      </c>
      <c r="D6" s="73" t="s">
        <v>144</v>
      </c>
      <c r="E6" s="10" t="n">
        <v>873000</v>
      </c>
      <c r="F6" s="74" t="n">
        <v>0.4</v>
      </c>
      <c r="G6" s="11" t="n">
        <f aca="false">ROUND(E6*F6,0)</f>
        <v>349200</v>
      </c>
    </row>
    <row r="7" customFormat="false" ht="15" hidden="false" customHeight="true" outlineLevel="0" collapsed="false">
      <c r="A7" s="33" t="n">
        <v>3</v>
      </c>
      <c r="B7" s="58" t="s">
        <v>27</v>
      </c>
      <c r="C7" s="33" t="s">
        <v>132</v>
      </c>
      <c r="D7" s="73" t="s">
        <v>145</v>
      </c>
      <c r="E7" s="10" t="n">
        <v>855000</v>
      </c>
      <c r="F7" s="74" t="n">
        <v>0.4</v>
      </c>
      <c r="G7" s="11" t="n">
        <f aca="false">ROUND(E7*F7,0)</f>
        <v>342000</v>
      </c>
    </row>
    <row r="8" customFormat="false" ht="15" hidden="false" customHeight="true" outlineLevel="0" collapsed="false">
      <c r="A8" s="33" t="n">
        <v>4</v>
      </c>
      <c r="B8" s="58" t="s">
        <v>29</v>
      </c>
      <c r="C8" s="33" t="s">
        <v>129</v>
      </c>
      <c r="D8" s="73" t="s">
        <v>146</v>
      </c>
      <c r="E8" s="10" t="n">
        <v>928000</v>
      </c>
      <c r="F8" s="74" t="n">
        <v>0.4</v>
      </c>
      <c r="G8" s="11" t="n">
        <f aca="false">ROUND(E8*F8,0)</f>
        <v>371200</v>
      </c>
    </row>
    <row r="9" customFormat="false" ht="15" hidden="false" customHeight="true" outlineLevel="0" collapsed="false">
      <c r="A9" s="33" t="n">
        <v>5</v>
      </c>
      <c r="B9" s="58" t="s">
        <v>30</v>
      </c>
      <c r="C9" s="33" t="s">
        <v>132</v>
      </c>
      <c r="D9" s="73" t="s">
        <v>147</v>
      </c>
      <c r="E9" s="10" t="n">
        <v>903000</v>
      </c>
      <c r="F9" s="74" t="n">
        <v>0.4</v>
      </c>
      <c r="G9" s="11" t="n">
        <f aca="false">ROUND(E9*F9,0)</f>
        <v>361200</v>
      </c>
    </row>
    <row r="10" customFormat="false" ht="15" hidden="false" customHeight="true" outlineLevel="0" collapsed="false">
      <c r="A10" s="33" t="n">
        <v>6</v>
      </c>
      <c r="B10" s="58" t="s">
        <v>99</v>
      </c>
      <c r="C10" s="33" t="s">
        <v>148</v>
      </c>
      <c r="D10" s="75" t="s">
        <v>149</v>
      </c>
      <c r="E10" s="10" t="n">
        <v>228000</v>
      </c>
      <c r="F10" s="74" t="n">
        <v>0.35</v>
      </c>
      <c r="G10" s="11" t="n">
        <f aca="false">ROUND(E10*F10,0)</f>
        <v>79800</v>
      </c>
    </row>
    <row r="11" customFormat="false" ht="15" hidden="false" customHeight="true" outlineLevel="0" collapsed="false">
      <c r="A11" s="33" t="n">
        <v>7</v>
      </c>
      <c r="B11" s="58" t="s">
        <v>150</v>
      </c>
      <c r="C11" s="33" t="s">
        <v>148</v>
      </c>
      <c r="D11" s="75" t="s">
        <v>151</v>
      </c>
      <c r="E11" s="10" t="n">
        <v>202000</v>
      </c>
      <c r="F11" s="74" t="n">
        <v>0.35</v>
      </c>
      <c r="G11" s="11" t="n">
        <f aca="false">ROUND(E11*F11,0)</f>
        <v>70700</v>
      </c>
    </row>
    <row r="12" customFormat="false" ht="15" hidden="false" customHeight="true" outlineLevel="0" collapsed="false">
      <c r="A12" s="33" t="n">
        <v>8</v>
      </c>
      <c r="B12" s="58" t="s">
        <v>152</v>
      </c>
      <c r="C12" s="33" t="s">
        <v>148</v>
      </c>
      <c r="D12" s="75" t="s">
        <v>153</v>
      </c>
      <c r="E12" s="10" t="n">
        <v>227000</v>
      </c>
      <c r="F12" s="74" t="n">
        <v>0.35</v>
      </c>
      <c r="G12" s="11" t="n">
        <f aca="false">ROUND(E12*F12,0)</f>
        <v>79450</v>
      </c>
    </row>
    <row r="13" customFormat="false" ht="15" hidden="false" customHeight="true" outlineLevel="0" collapsed="false">
      <c r="A13" s="33" t="n">
        <v>9</v>
      </c>
      <c r="B13" s="58" t="s">
        <v>100</v>
      </c>
      <c r="C13" s="33" t="s">
        <v>148</v>
      </c>
      <c r="D13" s="75" t="s">
        <v>154</v>
      </c>
      <c r="E13" s="10" t="n">
        <v>227000</v>
      </c>
      <c r="F13" s="74" t="n">
        <v>0.35</v>
      </c>
      <c r="G13" s="11" t="n">
        <f aca="false">ROUND(E13*F13,0)</f>
        <v>79450</v>
      </c>
    </row>
    <row r="14" customFormat="false" ht="15" hidden="false" customHeight="true" outlineLevel="0" collapsed="false">
      <c r="A14" s="33" t="n">
        <v>10</v>
      </c>
      <c r="B14" s="58" t="s">
        <v>155</v>
      </c>
      <c r="C14" s="33" t="s">
        <v>148</v>
      </c>
      <c r="D14" s="75" t="s">
        <v>156</v>
      </c>
      <c r="E14" s="10" t="n">
        <v>213000</v>
      </c>
      <c r="F14" s="74" t="n">
        <v>0.35</v>
      </c>
      <c r="G14" s="11" t="n">
        <f aca="false">ROUND(E14*F14,0)</f>
        <v>74550</v>
      </c>
    </row>
    <row r="15" customFormat="false" ht="15" hidden="false" customHeight="true" outlineLevel="0" collapsed="false">
      <c r="A15" s="33" t="n">
        <v>11</v>
      </c>
      <c r="B15" s="58" t="s">
        <v>157</v>
      </c>
      <c r="C15" s="33" t="s">
        <v>148</v>
      </c>
      <c r="D15" s="75" t="s">
        <v>158</v>
      </c>
      <c r="E15" s="10" t="n">
        <v>161000</v>
      </c>
      <c r="F15" s="74" t="n">
        <v>0.35</v>
      </c>
      <c r="G15" s="11" t="n">
        <f aca="false">ROUND(E15*F15,0)</f>
        <v>56350</v>
      </c>
    </row>
    <row r="16" customFormat="false" ht="15" hidden="false" customHeight="true" outlineLevel="0" collapsed="false">
      <c r="A16" s="33" t="n">
        <v>12</v>
      </c>
      <c r="B16" s="58" t="s">
        <v>101</v>
      </c>
      <c r="C16" s="33" t="s">
        <v>148</v>
      </c>
      <c r="D16" s="75" t="s">
        <v>159</v>
      </c>
      <c r="E16" s="10" t="n">
        <v>168000</v>
      </c>
      <c r="F16" s="74" t="n">
        <v>0.35</v>
      </c>
      <c r="G16" s="11" t="n">
        <f aca="false">ROUND(E16*F16,0)</f>
        <v>58800</v>
      </c>
    </row>
    <row r="17" customFormat="false" ht="15" hidden="false" customHeight="true" outlineLevel="0" collapsed="false">
      <c r="A17" s="33" t="n">
        <v>13</v>
      </c>
      <c r="B17" s="58" t="s">
        <v>160</v>
      </c>
      <c r="C17" s="33" t="s">
        <v>148</v>
      </c>
      <c r="D17" s="75" t="s">
        <v>161</v>
      </c>
      <c r="E17" s="10" t="n">
        <v>168000</v>
      </c>
      <c r="F17" s="74" t="n">
        <v>0.35</v>
      </c>
      <c r="G17" s="11" t="n">
        <f aca="false">ROUND(E17*F17,0)</f>
        <v>58800</v>
      </c>
    </row>
    <row r="18" customFormat="false" ht="15" hidden="false" customHeight="true" outlineLevel="0" collapsed="false">
      <c r="A18" s="33" t="n">
        <v>14</v>
      </c>
      <c r="B18" s="58" t="s">
        <v>162</v>
      </c>
      <c r="C18" s="33" t="s">
        <v>148</v>
      </c>
      <c r="D18" s="75" t="s">
        <v>163</v>
      </c>
      <c r="E18" s="10" t="n">
        <v>311000</v>
      </c>
      <c r="F18" s="74" t="n">
        <v>0.35</v>
      </c>
      <c r="G18" s="11" t="n">
        <f aca="false">ROUND(E18*F18,0)</f>
        <v>108850</v>
      </c>
    </row>
    <row r="19" customFormat="false" ht="15" hidden="false" customHeight="true" outlineLevel="0" collapsed="false">
      <c r="A19" s="33" t="n">
        <v>15</v>
      </c>
      <c r="B19" s="58" t="s">
        <v>164</v>
      </c>
      <c r="C19" s="33" t="s">
        <v>148</v>
      </c>
      <c r="D19" s="75" t="s">
        <v>165</v>
      </c>
      <c r="E19" s="10" t="n">
        <v>284000</v>
      </c>
      <c r="F19" s="74" t="n">
        <v>0.35</v>
      </c>
      <c r="G19" s="11" t="n">
        <f aca="false">ROUND(E19*F19,0)</f>
        <v>99400</v>
      </c>
    </row>
    <row r="20" customFormat="false" ht="15" hidden="false" customHeight="true" outlineLevel="0" collapsed="false">
      <c r="A20" s="33" t="n">
        <v>16</v>
      </c>
      <c r="B20" s="58" t="s">
        <v>166</v>
      </c>
      <c r="C20" s="33" t="s">
        <v>148</v>
      </c>
      <c r="D20" s="75" t="s">
        <v>167</v>
      </c>
      <c r="E20" s="10" t="n">
        <v>331000</v>
      </c>
      <c r="F20" s="74" t="n">
        <v>0.35</v>
      </c>
      <c r="G20" s="11" t="n">
        <f aca="false">ROUND(E20*F20,0)</f>
        <v>115850</v>
      </c>
    </row>
    <row r="21" customFormat="false" ht="15" hidden="false" customHeight="true" outlineLevel="0" collapsed="false">
      <c r="A21" s="33" t="n">
        <v>17</v>
      </c>
      <c r="B21" s="58" t="s">
        <v>94</v>
      </c>
      <c r="C21" s="33" t="s">
        <v>148</v>
      </c>
      <c r="D21" s="75" t="s">
        <v>168</v>
      </c>
      <c r="E21" s="10" t="n">
        <v>346000</v>
      </c>
      <c r="F21" s="74" t="n">
        <v>0.35</v>
      </c>
      <c r="G21" s="11" t="n">
        <f aca="false">ROUND(E21*F21,0)</f>
        <v>121100</v>
      </c>
    </row>
    <row r="22" customFormat="false" ht="15" hidden="false" customHeight="true" outlineLevel="0" collapsed="false">
      <c r="A22" s="33" t="n">
        <v>18</v>
      </c>
      <c r="B22" s="58" t="s">
        <v>102</v>
      </c>
      <c r="C22" s="33" t="s">
        <v>148</v>
      </c>
      <c r="D22" s="75" t="s">
        <v>169</v>
      </c>
      <c r="E22" s="10" t="n">
        <v>351000</v>
      </c>
      <c r="F22" s="74" t="n">
        <v>0.35</v>
      </c>
      <c r="G22" s="11" t="n">
        <f aca="false">ROUND(E22*F22,0)</f>
        <v>122850</v>
      </c>
    </row>
    <row r="23" customFormat="false" ht="15" hidden="false" customHeight="true" outlineLevel="0" collapsed="false">
      <c r="A23" s="33" t="n">
        <v>19</v>
      </c>
      <c r="B23" s="58" t="s">
        <v>98</v>
      </c>
      <c r="C23" s="33" t="s">
        <v>129</v>
      </c>
      <c r="D23" s="73" t="s">
        <v>170</v>
      </c>
      <c r="E23" s="10" t="n">
        <v>920000</v>
      </c>
      <c r="F23" s="74" t="n">
        <v>0.4</v>
      </c>
      <c r="G23" s="11" t="n">
        <f aca="false">ROUND(E23*F23,0)</f>
        <v>368000</v>
      </c>
    </row>
    <row r="24" customFormat="false" ht="15" hidden="false" customHeight="true" outlineLevel="0" collapsed="false">
      <c r="A24" s="33" t="n">
        <v>20</v>
      </c>
      <c r="B24" s="58" t="s">
        <v>103</v>
      </c>
      <c r="C24" s="33" t="s">
        <v>148</v>
      </c>
      <c r="D24" s="73" t="s">
        <v>171</v>
      </c>
      <c r="E24" s="10" t="n">
        <v>156000</v>
      </c>
      <c r="F24" s="74" t="n">
        <v>0.35</v>
      </c>
      <c r="G24" s="11" t="n">
        <f aca="false">ROUND(E24*F24,0)</f>
        <v>54600</v>
      </c>
    </row>
    <row r="25" customFormat="false" ht="15" hidden="false" customHeight="true" outlineLevel="0" collapsed="false">
      <c r="A25" s="33" t="n">
        <v>21</v>
      </c>
      <c r="B25" s="58" t="s">
        <v>104</v>
      </c>
      <c r="C25" s="33" t="s">
        <v>148</v>
      </c>
      <c r="D25" s="73" t="s">
        <v>172</v>
      </c>
      <c r="E25" s="10" t="n">
        <v>185000</v>
      </c>
      <c r="F25" s="74" t="n">
        <v>0.35</v>
      </c>
      <c r="G25" s="11" t="n">
        <f aca="false">ROUND(E25*F25,0)</f>
        <v>64750</v>
      </c>
    </row>
    <row r="26" customFormat="false" ht="15" hidden="false" customHeight="true" outlineLevel="0" collapsed="false">
      <c r="A26" s="18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2026-10-06T03:24:33Z</dcterms:created>
  <dc:creator>openpyxl</dc:creator>
  <dc:description/>
  <dc:language>en-US</dc:language>
  <cp:lastModifiedBy>민기 백</cp:lastModifiedBy>
  <dcterms:modified xsi:type="dcterms:W3CDTF">2026-10-06T03:41:09Z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