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마진 요약" sheetId="1" state="visible" r:id="rId3"/>
    <sheet name="매입 구성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8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WenQuanYi Zen Hei"/>
            <family val="2"/>
          </rPr>
          <t xml:space="preserve">스레드 댓글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WenQuanYi Zen Hei"/>
            <family val="2"/>
          </rPr>
          <t xml:space="preserve">사용 중인 버전의 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WenQuanYi Zen Hei"/>
            <family val="2"/>
          </rPr>
          <t xml:space="preserve">에서 이 스레드 댓글을 읽을 수 있지만 파일을 이후 버전의 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WenQuanYi Zen Hei"/>
            <family val="2"/>
          </rPr>
          <t xml:space="preserve">에서 열면 편집 내용이 모두 제거됩니다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자세한 정보</t>
        </r>
        <r>
          <rPr>
            <sz val="10"/>
            <rFont val="Arial"/>
            <family val="2"/>
          </rPr>
          <t xml:space="preserve">: https://go.microsoft.com/fwlink/?linkid=870924.
</t>
        </r>
        <r>
          <rPr>
            <sz val="10"/>
            <rFont val="WenQuanYi Zen Hei"/>
            <family val="2"/>
          </rPr>
          <t xml:space="preserve">댓글</t>
        </r>
        <r>
          <rPr>
            <sz val="10"/>
            <rFont val="Arial"/>
            <family val="2"/>
          </rPr>
          <t xml:space="preserve">:
    </t>
        </r>
        <r>
          <rPr>
            <sz val="10"/>
            <rFont val="WenQuanYi Zen Hei"/>
            <family val="2"/>
          </rPr>
          <t xml:space="preserve">추가된 품목</t>
        </r>
      </text>
    </comment>
    <comment ref="E26" authorId="0">
      <text>
        <r>
          <rPr>
            <sz val="10"/>
            <rFont val="WenQuanYi Zen Hei"/>
            <family val="2"/>
          </rPr>
          <t xml:space="preserve">가정값 — </t>
        </r>
        <r>
          <rPr>
            <sz val="10"/>
            <rFont val="Arial"/>
            <family val="2"/>
          </rPr>
          <t xml:space="preserve">16</t>
        </r>
        <r>
          <rPr>
            <sz val="10"/>
            <rFont val="WenQuanYi Zen Hei"/>
            <family val="2"/>
          </rPr>
          <t xml:space="preserve">점 모듈 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WenQuanYi Zen Hei"/>
            <family val="2"/>
          </rPr>
          <t xml:space="preserve">개 리스트가의 </t>
        </r>
        <r>
          <rPr>
            <sz val="10"/>
            <rFont val="Arial"/>
            <family val="2"/>
          </rPr>
          <t xml:space="preserve">85% (</t>
        </r>
        <r>
          <rPr>
            <sz val="10"/>
            <rFont val="WenQuanYi Zen Hei"/>
            <family val="2"/>
          </rPr>
          <t xml:space="preserve">슈나이더 단가 받으면 교체</t>
        </r>
        <r>
          <rPr>
            <sz val="10"/>
            <rFont val="Arial"/>
            <family val="2"/>
          </rPr>
          <t xml:space="preserve">)</t>
        </r>
      </text>
    </comment>
    <comment ref="E28" authorId="0">
      <text>
        <r>
          <rPr>
            <sz val="10"/>
            <rFont val="WenQuanYi Zen Hei"/>
            <family val="2"/>
          </rPr>
          <t xml:space="preserve">가정값 — </t>
        </r>
        <r>
          <rPr>
            <sz val="10"/>
            <rFont val="Arial"/>
            <family val="2"/>
          </rPr>
          <t xml:space="preserve">16</t>
        </r>
        <r>
          <rPr>
            <sz val="10"/>
            <rFont val="WenQuanYi Zen Hei"/>
            <family val="2"/>
          </rPr>
          <t xml:space="preserve">점 모듈 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WenQuanYi Zen Hei"/>
            <family val="2"/>
          </rPr>
          <t xml:space="preserve">개 리스트가의 </t>
        </r>
        <r>
          <rPr>
            <sz val="10"/>
            <rFont val="Arial"/>
            <family val="2"/>
          </rPr>
          <t xml:space="preserve">85% (</t>
        </r>
        <r>
          <rPr>
            <sz val="10"/>
            <rFont val="WenQuanYi Zen Hei"/>
            <family val="2"/>
          </rPr>
          <t xml:space="preserve">슈나이더 단가 받으면 교체</t>
        </r>
        <r>
          <rPr>
            <sz val="10"/>
            <rFont val="Arial"/>
            <family val="2"/>
          </rPr>
          <t xml:space="preserve">)</t>
        </r>
      </text>
    </comment>
    <comment ref="E31" authorId="0">
      <text>
        <r>
          <rPr>
            <sz val="10"/>
            <rFont val="WenQuanYi Zen Hei"/>
            <family val="2"/>
          </rPr>
          <t xml:space="preserve">가정값 — 매입가 직접 입력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할인율 </t>
        </r>
        <r>
          <rPr>
            <sz val="10"/>
            <rFont val="Arial"/>
            <family val="2"/>
          </rPr>
          <t xml:space="preserve">1). </t>
        </r>
        <r>
          <rPr>
            <sz val="10"/>
            <rFont val="WenQuanYi Zen Hei"/>
            <family val="2"/>
          </rPr>
          <t xml:space="preserve">슈나이더 단가 받으면 교체</t>
        </r>
      </text>
    </comment>
  </commentList>
</comments>
</file>

<file path=xl/sharedStrings.xml><?xml version="1.0" encoding="utf-8"?>
<sst xmlns="http://schemas.openxmlformats.org/spreadsheetml/2006/main" count="111" uniqueCount="55">
  <si>
    <t xml:space="preserve">견적 제출 시 마진 정리  [내부용 — 외부 공유 금지]  —  MCC 32점안</t>
  </si>
  <si>
    <t xml:space="preserve">견적가 = 테크로스 제출 단가 (타겟 프라이스)  ·  매입가 = Schneider 협의 할인율 기준 ('매입 구성' 시트)  ·  VAT 별도</t>
  </si>
  <si>
    <r>
      <rPr>
        <b val="true"/>
        <sz val="12"/>
        <color rgb="FF1F3864"/>
        <rFont val="맑은 고딕"/>
        <family val="3"/>
        <charset val="129"/>
      </rPr>
      <t xml:space="preserve">① DC24V</t>
    </r>
    <r>
      <rPr>
        <b val="true"/>
        <sz val="12"/>
        <color rgb="FF1F3864"/>
        <rFont val="WenQuanYi Zen Hei"/>
        <family val="2"/>
      </rPr>
      <t xml:space="preserve">로 납품 </t>
    </r>
    <r>
      <rPr>
        <b val="true"/>
        <sz val="12"/>
        <color rgb="FF1F3864"/>
        <rFont val="맑은 고딕"/>
        <family val="3"/>
        <charset val="129"/>
      </rPr>
      <t xml:space="preserve">(</t>
    </r>
    <r>
      <rPr>
        <b val="true"/>
        <sz val="12"/>
        <color rgb="FF1F3864"/>
        <rFont val="WenQuanYi Zen Hei"/>
        <family val="2"/>
      </rPr>
      <t xml:space="preserve">권장</t>
    </r>
    <r>
      <rPr>
        <b val="true"/>
        <sz val="12"/>
        <color rgb="FF1F3864"/>
        <rFont val="맑은 고딕"/>
        <family val="3"/>
        <charset val="129"/>
      </rPr>
      <t xml:space="preserve">)</t>
    </r>
  </si>
  <si>
    <t xml:space="preserve">프로젝트</t>
  </si>
  <si>
    <t xml:space="preserve">전원</t>
  </si>
  <si>
    <t xml:space="preserve">연간 수량</t>
  </si>
  <si>
    <t xml:space="preserve">견적가 (1대)</t>
  </si>
  <si>
    <t xml:space="preserve">매입가 (1대)</t>
  </si>
  <si>
    <t xml:space="preserve">마진 (1대)</t>
  </si>
  <si>
    <t xml:space="preserve">마진율</t>
  </si>
  <si>
    <t xml:space="preserve">연간 매출</t>
  </si>
  <si>
    <t xml:space="preserve">연간 매입</t>
  </si>
  <si>
    <t xml:space="preserve">연간 마진</t>
  </si>
  <si>
    <t xml:space="preserve">LS  타겟</t>
  </si>
  <si>
    <t xml:space="preserve">LS매출</t>
  </si>
  <si>
    <t xml:space="preserve">LS 대비</t>
  </si>
  <si>
    <t xml:space="preserve">TSU</t>
  </si>
  <si>
    <t xml:space="preserve">DC24V</t>
  </si>
  <si>
    <t xml:space="preserve">ANU</t>
  </si>
  <si>
    <t xml:space="preserve">ANU-S</t>
  </si>
  <si>
    <t xml:space="preserve">MCC</t>
  </si>
  <si>
    <t xml:space="preserve">합계</t>
  </si>
  <si>
    <r>
      <rPr>
        <b val="true"/>
        <sz val="12"/>
        <color rgb="FF1F3864"/>
        <rFont val="맑은 고딕"/>
        <family val="3"/>
        <charset val="129"/>
      </rPr>
      <t xml:space="preserve">② AC220V</t>
    </r>
    <r>
      <rPr>
        <b val="true"/>
        <sz val="12"/>
        <color rgb="FF1F3864"/>
        <rFont val="WenQuanYi Zen Hei"/>
        <family val="2"/>
      </rPr>
      <t xml:space="preserve">로 납품 </t>
    </r>
    <r>
      <rPr>
        <b val="true"/>
        <sz val="12"/>
        <color rgb="FF1F3864"/>
        <rFont val="맑은 고딕"/>
        <family val="3"/>
        <charset val="129"/>
      </rPr>
      <t xml:space="preserve">(MCC</t>
    </r>
    <r>
      <rPr>
        <b val="true"/>
        <sz val="12"/>
        <color rgb="FF1F3864"/>
        <rFont val="WenQuanYi Zen Hei"/>
        <family val="2"/>
      </rPr>
      <t xml:space="preserve">는 </t>
    </r>
    <r>
      <rPr>
        <b val="true"/>
        <sz val="12"/>
        <color rgb="FF1F3864"/>
        <rFont val="맑은 고딕"/>
        <family val="3"/>
        <charset val="129"/>
      </rPr>
      <t xml:space="preserve">DC24V)</t>
    </r>
  </si>
  <si>
    <t xml:space="preserve">LS</t>
  </si>
  <si>
    <t xml:space="preserve">AC220V</t>
  </si>
  <si>
    <r>
      <rPr>
        <b val="true"/>
        <sz val="9"/>
        <color rgb="FFC00000"/>
        <rFont val="맑은 고딕"/>
        <family val="0"/>
        <charset val="1"/>
      </rPr>
      <t xml:space="preserve">※ 32</t>
    </r>
    <r>
      <rPr>
        <b val="true"/>
        <sz val="9"/>
        <color rgb="FFC00000"/>
        <rFont val="WenQuanYi Zen Hei"/>
        <family val="2"/>
      </rPr>
      <t xml:space="preserve">점 모듈 </t>
    </r>
    <r>
      <rPr>
        <b val="true"/>
        <sz val="9"/>
        <color rgb="FFC00000"/>
        <rFont val="맑은 고딕"/>
        <family val="0"/>
        <charset val="1"/>
      </rPr>
      <t xml:space="preserve">· </t>
    </r>
    <r>
      <rPr>
        <b val="true"/>
        <sz val="9"/>
        <color rgb="FFC00000"/>
        <rFont val="WenQuanYi Zen Hei"/>
        <family val="2"/>
      </rPr>
      <t xml:space="preserve">케이블 매입가는 가정값 </t>
    </r>
    <r>
      <rPr>
        <b val="true"/>
        <sz val="9"/>
        <color rgb="FFC00000"/>
        <rFont val="맑은 고딕"/>
        <family val="0"/>
        <charset val="1"/>
      </rPr>
      <t xml:space="preserve">('</t>
    </r>
    <r>
      <rPr>
        <b val="true"/>
        <sz val="9"/>
        <color rgb="FFC00000"/>
        <rFont val="WenQuanYi Zen Hei"/>
        <family val="2"/>
      </rPr>
      <t xml:space="preserve">매입 구성</t>
    </r>
    <r>
      <rPr>
        <b val="true"/>
        <sz val="9"/>
        <color rgb="FFC00000"/>
        <rFont val="맑은 고딕"/>
        <family val="0"/>
        <charset val="1"/>
      </rPr>
      <t xml:space="preserve">' </t>
    </r>
    <r>
      <rPr>
        <b val="true"/>
        <sz val="9"/>
        <color rgb="FFC00000"/>
        <rFont val="WenQuanYi Zen Hei"/>
        <family val="2"/>
      </rPr>
      <t xml:space="preserve">시트 노란 칸</t>
    </r>
    <r>
      <rPr>
        <b val="true"/>
        <sz val="9"/>
        <color rgb="FFC00000"/>
        <rFont val="맑은 고딕"/>
        <family val="0"/>
        <charset val="1"/>
      </rPr>
      <t xml:space="preserve">) — </t>
    </r>
    <r>
      <rPr>
        <b val="true"/>
        <sz val="9"/>
        <color rgb="FFC00000"/>
        <rFont val="WenQuanYi Zen Hei"/>
        <family val="2"/>
      </rPr>
      <t xml:space="preserve">슈나이더 단가 확인 후 확정</t>
    </r>
  </si>
  <si>
    <t xml:space="preserve">매입 구성 (Schneider 협의 할인율: CPU 0.40 / 확장 모듈 0.35)  —  MCC 32점안</t>
  </si>
  <si>
    <t xml:space="preserve">파란 글씨 = 입력값 (리스트가 · 할인율 · 수량). 할인율이 바뀌면 여기만 고치면 됩니다.</t>
  </si>
  <si>
    <t xml:space="preserve">모델</t>
  </si>
  <si>
    <t xml:space="preserve">수량</t>
  </si>
  <si>
    <t xml:space="preserve">리스트가</t>
  </si>
  <si>
    <t xml:space="preserve">할인율</t>
  </si>
  <si>
    <t xml:space="preserve">매입 단가</t>
  </si>
  <si>
    <t xml:space="preserve">매입 금액</t>
  </si>
  <si>
    <t xml:space="preserve">견적가</t>
  </si>
  <si>
    <t xml:space="preserve">TM241C24T</t>
  </si>
  <si>
    <r>
      <rPr>
        <b val="true"/>
        <sz val="9"/>
        <color rgb="FF000000"/>
        <rFont val="맑은 고딕"/>
        <family val="3"/>
        <charset val="129"/>
      </rPr>
      <t xml:space="preserve">TSU DC24V 1</t>
    </r>
    <r>
      <rPr>
        <b val="true"/>
        <sz val="9"/>
        <color rgb="FF000000"/>
        <rFont val="WenQuanYi Zen Hei"/>
        <family val="2"/>
      </rPr>
      <t xml:space="preserve">대 매입가</t>
    </r>
  </si>
  <si>
    <t xml:space="preserve">TM241C24R</t>
  </si>
  <si>
    <r>
      <rPr>
        <b val="true"/>
        <sz val="9"/>
        <color rgb="FF000000"/>
        <rFont val="맑은 고딕"/>
        <family val="3"/>
        <charset val="129"/>
      </rPr>
      <t xml:space="preserve">TSU AC220V 1</t>
    </r>
    <r>
      <rPr>
        <b val="true"/>
        <sz val="9"/>
        <color rgb="FF000000"/>
        <rFont val="WenQuanYi Zen Hei"/>
        <family val="2"/>
      </rPr>
      <t xml:space="preserve">대 매입가</t>
    </r>
  </si>
  <si>
    <t xml:space="preserve">TM241C40T</t>
  </si>
  <si>
    <r>
      <rPr>
        <b val="true"/>
        <sz val="9"/>
        <color rgb="FF000000"/>
        <rFont val="맑은 고딕"/>
        <family val="3"/>
        <charset val="129"/>
      </rPr>
      <t xml:space="preserve">ANU DC24V 1</t>
    </r>
    <r>
      <rPr>
        <b val="true"/>
        <sz val="9"/>
        <color rgb="FF000000"/>
        <rFont val="WenQuanYi Zen Hei"/>
        <family val="2"/>
      </rPr>
      <t xml:space="preserve">대 매입가</t>
    </r>
  </si>
  <si>
    <t xml:space="preserve">TM241C40R</t>
  </si>
  <si>
    <r>
      <rPr>
        <b val="true"/>
        <sz val="9"/>
        <color rgb="FF000000"/>
        <rFont val="맑은 고딕"/>
        <family val="3"/>
        <charset val="129"/>
      </rPr>
      <t xml:space="preserve">ANU AC220V 1</t>
    </r>
    <r>
      <rPr>
        <b val="true"/>
        <sz val="9"/>
        <color rgb="FF000000"/>
        <rFont val="WenQuanYi Zen Hei"/>
        <family val="2"/>
      </rPr>
      <t xml:space="preserve">대 매입가</t>
    </r>
  </si>
  <si>
    <t xml:space="preserve">TM3AQ2</t>
  </si>
  <si>
    <r>
      <rPr>
        <b val="true"/>
        <sz val="9"/>
        <color rgb="FF000000"/>
        <rFont val="맑은 고딕"/>
        <family val="3"/>
        <charset val="129"/>
      </rPr>
      <t xml:space="preserve">ANU-S DC24V 1</t>
    </r>
    <r>
      <rPr>
        <b val="true"/>
        <sz val="9"/>
        <color rgb="FF000000"/>
        <rFont val="WenQuanYi Zen Hei"/>
        <family val="2"/>
      </rPr>
      <t xml:space="preserve">대 매입가</t>
    </r>
  </si>
  <si>
    <r>
      <rPr>
        <b val="true"/>
        <sz val="9"/>
        <color rgb="FF000000"/>
        <rFont val="맑은 고딕"/>
        <family val="3"/>
        <charset val="129"/>
      </rPr>
      <t xml:space="preserve">ANU-S AC220V 1</t>
    </r>
    <r>
      <rPr>
        <b val="true"/>
        <sz val="9"/>
        <color rgb="FF000000"/>
        <rFont val="WenQuanYi Zen Hei"/>
        <family val="2"/>
      </rPr>
      <t xml:space="preserve">대 매입가</t>
    </r>
  </si>
  <si>
    <t xml:space="preserve">TM241CE40T</t>
  </si>
  <si>
    <t xml:space="preserve">TM3DI32K</t>
  </si>
  <si>
    <t xml:space="preserve">TM3DI16</t>
  </si>
  <si>
    <t xml:space="preserve">TM3DQ32TK</t>
  </si>
  <si>
    <t xml:space="preserve">TM3DQ8T</t>
  </si>
  <si>
    <t xml:space="preserve">TM3AQ4</t>
  </si>
  <si>
    <r>
      <rPr>
        <sz val="9"/>
        <color rgb="FF000000"/>
        <rFont val="맑은 고딕"/>
        <family val="3"/>
        <charset val="129"/>
      </rPr>
      <t xml:space="preserve">HE10 </t>
    </r>
    <r>
      <rPr>
        <sz val="9"/>
        <color rgb="FF000000"/>
        <rFont val="WenQuanYi Zen Hei"/>
        <family val="2"/>
      </rPr>
      <t xml:space="preserve">케이블</t>
    </r>
  </si>
  <si>
    <r>
      <rPr>
        <b val="true"/>
        <sz val="9"/>
        <color rgb="FF000000"/>
        <rFont val="맑은 고딕"/>
        <family val="3"/>
        <charset val="129"/>
      </rPr>
      <t xml:space="preserve">MCC DC24V 1</t>
    </r>
    <r>
      <rPr>
        <b val="true"/>
        <sz val="9"/>
        <color rgb="FF000000"/>
        <rFont val="WenQuanYi Zen Hei"/>
        <family val="2"/>
      </rPr>
      <t xml:space="preserve">대 매입가</t>
    </r>
  </si>
  <si>
    <r>
      <rPr>
        <b val="true"/>
        <sz val="9"/>
        <color rgb="FFC00000"/>
        <rFont val="맑은 고딕"/>
        <family val="0"/>
        <charset val="1"/>
      </rPr>
      <t xml:space="preserve">※ MCC 32</t>
    </r>
    <r>
      <rPr>
        <b val="true"/>
        <sz val="9"/>
        <color rgb="FFC00000"/>
        <rFont val="WenQuanYi Zen Hei"/>
        <family val="2"/>
      </rPr>
      <t xml:space="preserve">점안</t>
    </r>
    <r>
      <rPr>
        <b val="true"/>
        <sz val="9"/>
        <color rgb="FFC00000"/>
        <rFont val="맑은 고딕"/>
        <family val="0"/>
        <charset val="1"/>
      </rPr>
      <t xml:space="preserve">: </t>
    </r>
    <r>
      <rPr>
        <b val="true"/>
        <sz val="9"/>
        <color rgb="FFC00000"/>
        <rFont val="WenQuanYi Zen Hei"/>
        <family val="2"/>
      </rPr>
      <t xml:space="preserve">노란 칸</t>
    </r>
    <r>
      <rPr>
        <b val="true"/>
        <sz val="9"/>
        <color rgb="FFC00000"/>
        <rFont val="맑은 고딕"/>
        <family val="0"/>
        <charset val="1"/>
      </rPr>
      <t xml:space="preserve">(TM3DI32K · TM3DQ32TK · HE10 </t>
    </r>
    <r>
      <rPr>
        <b val="true"/>
        <sz val="9"/>
        <color rgb="FFC00000"/>
        <rFont val="WenQuanYi Zen Hei"/>
        <family val="2"/>
      </rPr>
      <t xml:space="preserve">케이블</t>
    </r>
    <r>
      <rPr>
        <b val="true"/>
        <sz val="9"/>
        <color rgb="FFC00000"/>
        <rFont val="맑은 고딕"/>
        <family val="0"/>
        <charset val="1"/>
      </rPr>
      <t xml:space="preserve">)</t>
    </r>
    <r>
      <rPr>
        <b val="true"/>
        <sz val="9"/>
        <color rgb="FFC00000"/>
        <rFont val="WenQuanYi Zen Hei"/>
        <family val="2"/>
      </rPr>
      <t xml:space="preserve">은 가정값입니다</t>
    </r>
    <r>
      <rPr>
        <b val="true"/>
        <sz val="9"/>
        <color rgb="FFC00000"/>
        <rFont val="맑은 고딕"/>
        <family val="0"/>
        <charset val="1"/>
      </rPr>
      <t xml:space="preserve">. </t>
    </r>
    <r>
      <rPr>
        <b val="true"/>
        <sz val="9"/>
        <color rgb="FFC00000"/>
        <rFont val="WenQuanYi Zen Hei"/>
        <family val="2"/>
      </rPr>
      <t xml:space="preserve">슈나이더 단가를 받으면 리스트가</t>
    </r>
    <r>
      <rPr>
        <b val="true"/>
        <sz val="9"/>
        <color rgb="FFC00000"/>
        <rFont val="맑은 고딕"/>
        <family val="0"/>
        <charset val="1"/>
      </rPr>
      <t xml:space="preserve">(</t>
    </r>
    <r>
      <rPr>
        <b val="true"/>
        <sz val="9"/>
        <color rgb="FFC00000"/>
        <rFont val="WenQuanYi Zen Hei"/>
        <family val="2"/>
      </rPr>
      <t xml:space="preserve">케이블은 매입가</t>
    </r>
    <r>
      <rPr>
        <b val="true"/>
        <sz val="9"/>
        <color rgb="FFC00000"/>
        <rFont val="맑은 고딕"/>
        <family val="0"/>
        <charset val="1"/>
      </rPr>
      <t xml:space="preserve">)</t>
    </r>
    <r>
      <rPr>
        <b val="true"/>
        <sz val="9"/>
        <color rgb="FFC00000"/>
        <rFont val="WenQuanYi Zen Hei"/>
        <family val="2"/>
      </rPr>
      <t xml:space="preserve">만 바꾸면 됩니다</t>
    </r>
    <r>
      <rPr>
        <b val="true"/>
        <sz val="9"/>
        <color rgb="FFC00000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</si>
</sst>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_ "/>
    <numFmt numFmtId="166" formatCode="#,##0;\-#,##0;\-"/>
    <numFmt numFmtId="167" formatCode="0.0%"/>
    <numFmt numFmtId="168" formatCode="0.00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C00000"/>
      <name val="WenQuanYi Zen Hei"/>
      <family val="2"/>
      <charset val="1"/>
    </font>
    <font>
      <sz val="9"/>
      <color rgb="FF595959"/>
      <name val="WenQuanYi Zen Hei"/>
      <family val="2"/>
      <charset val="1"/>
    </font>
    <font>
      <b val="true"/>
      <sz val="12"/>
      <color rgb="FF1F3864"/>
      <name val="맑은 고딕"/>
      <family val="3"/>
      <charset val="129"/>
    </font>
    <font>
      <b val="true"/>
      <sz val="12"/>
      <color rgb="FF1F3864"/>
      <name val="WenQuanYi Zen Hei"/>
      <family val="2"/>
    </font>
    <font>
      <b val="true"/>
      <sz val="9"/>
      <color rgb="FFFFFFFF"/>
      <name val="WenQuanYi Zen Hei"/>
      <family val="2"/>
      <charset val="1"/>
    </font>
    <font>
      <b val="true"/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FF"/>
      <name val="맑은 고딕"/>
      <family val="3"/>
      <charset val="129"/>
    </font>
    <font>
      <b val="true"/>
      <sz val="10"/>
      <color rgb="FF0000FF"/>
      <name val="맑은 고딕"/>
      <family val="3"/>
      <charset val="129"/>
    </font>
    <font>
      <sz val="9"/>
      <color rgb="FF008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 val="true"/>
      <sz val="10"/>
      <color rgb="FF000000"/>
      <name val="WenQuanYi Zen Hei"/>
      <family val="2"/>
      <charset val="1"/>
    </font>
    <font>
      <b val="true"/>
      <sz val="11"/>
      <color rgb="FF1F3864"/>
      <name val="맑은 고딕"/>
      <family val="3"/>
      <charset val="129"/>
    </font>
    <font>
      <b val="true"/>
      <sz val="10"/>
      <color rgb="FF008000"/>
      <name val="맑은 고딕"/>
      <family val="3"/>
      <charset val="129"/>
    </font>
    <font>
      <b val="true"/>
      <sz val="11"/>
      <color rgb="FFC00000"/>
      <name val="맑은 고딕"/>
      <family val="3"/>
      <charset val="129"/>
    </font>
    <font>
      <b val="true"/>
      <sz val="9"/>
      <color rgb="FFC00000"/>
      <name val="맑은 고딕"/>
      <family val="0"/>
      <charset val="1"/>
    </font>
    <font>
      <b val="true"/>
      <sz val="9"/>
      <color rgb="FFC00000"/>
      <name val="WenQuanYi Zen Hei"/>
      <family val="2"/>
    </font>
    <font>
      <b val="true"/>
      <sz val="13"/>
      <color rgb="FF1F3864"/>
      <name val="WenQuanYi Zen Hei"/>
      <family val="2"/>
      <charset val="1"/>
    </font>
    <font>
      <b val="true"/>
      <sz val="9"/>
      <color rgb="FF000000"/>
      <name val="WenQuanYi Zen Hei"/>
      <family val="2"/>
      <charset val="1"/>
    </font>
    <font>
      <sz val="11"/>
      <color theme="1"/>
      <name val="WenQuanYi Zen Hei"/>
      <family val="2"/>
    </font>
    <font>
      <b val="true"/>
      <sz val="9"/>
      <color rgb="FF000000"/>
      <name val="맑은 고딕"/>
      <family val="3"/>
      <charset val="129"/>
    </font>
    <font>
      <b val="true"/>
      <sz val="9"/>
      <color rgb="FF000000"/>
      <name val="WenQuanYi Zen Hei"/>
      <family val="2"/>
    </font>
    <font>
      <b val="true"/>
      <sz val="10"/>
      <color rgb="FF1F3864"/>
      <name val="맑은 고딕"/>
      <family val="3"/>
      <charset val="129"/>
    </font>
    <font>
      <sz val="9"/>
      <color rgb="FF000000"/>
      <name val="WenQuanYi Zen Hei"/>
      <family val="2"/>
    </font>
    <font>
      <sz val="10"/>
      <name val="Arial"/>
      <family val="2"/>
    </font>
    <font>
      <sz val="10"/>
      <name val="WenQuanYi Zen Hei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theme="2" tint="-0.1"/>
        <bgColor rgb="FFD9E1F2"/>
      </patternFill>
    </fill>
    <fill>
      <patternFill patternType="solid">
        <fgColor rgb="FFD9E1F2"/>
        <bgColor rgb="FFDDD9C3"/>
      </patternFill>
    </fill>
    <fill>
      <patternFill patternType="solid">
        <fgColor theme="0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5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맑은 고딕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7" activeCellId="0" sqref="M17"/>
    </sheetView>
  </sheetViews>
  <sheetFormatPr defaultColWidth="8.57421875" defaultRowHeight="15" zeroHeight="false" outlineLevelRow="0" outlineLevelCol="0"/>
  <cols>
    <col collapsed="false" customWidth="true" hidden="false" outlineLevel="0" max="3" min="1" style="0" width="9"/>
    <col collapsed="false" customWidth="true" hidden="false" outlineLevel="0" max="5" min="4" style="0" width="13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9" min="8" style="0" width="14"/>
    <col collapsed="false" customWidth="true" hidden="false" outlineLevel="0" max="10" min="10" style="0" width="15.72"/>
    <col collapsed="false" customWidth="true" hidden="false" outlineLevel="0" max="12" min="12" style="1" width="10.29"/>
    <col collapsed="false" customWidth="true" hidden="false" outlineLevel="0" max="13" min="13" style="0" width="16.14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1</v>
      </c>
    </row>
    <row r="4" customFormat="false" ht="21.7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</row>
    <row r="5" customFormat="false" ht="27.7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L5" s="5" t="s">
        <v>13</v>
      </c>
      <c r="M5" s="6" t="s">
        <v>14</v>
      </c>
      <c r="N5" s="6" t="s">
        <v>15</v>
      </c>
    </row>
    <row r="6" customFormat="false" ht="15" hidden="false" customHeight="false" outlineLevel="0" collapsed="false">
      <c r="A6" s="7" t="s">
        <v>16</v>
      </c>
      <c r="B6" s="8" t="s">
        <v>17</v>
      </c>
      <c r="C6" s="9" t="n">
        <v>200</v>
      </c>
      <c r="D6" s="10" t="n">
        <v>440000</v>
      </c>
      <c r="E6" s="11" t="n">
        <f aca="false">'매입 구성'!H6</f>
        <v>349200</v>
      </c>
      <c r="F6" s="12" t="n">
        <f aca="false">D6-E6</f>
        <v>90800</v>
      </c>
      <c r="G6" s="13" t="n">
        <f aca="false">IFERROR(F6/D6,0)</f>
        <v>0.206363636363636</v>
      </c>
      <c r="H6" s="14" t="n">
        <f aca="false">C6*D6</f>
        <v>88000000</v>
      </c>
      <c r="I6" s="14" t="n">
        <f aca="false">C6*E6</f>
        <v>69840000</v>
      </c>
      <c r="J6" s="12" t="n">
        <f aca="false">C6*F6</f>
        <v>18160000</v>
      </c>
      <c r="L6" s="1" t="n">
        <v>520000</v>
      </c>
      <c r="M6" s="15" t="n">
        <f aca="false">L6*C6</f>
        <v>104000000</v>
      </c>
      <c r="N6" s="16" t="n">
        <f aca="false">D6/L6</f>
        <v>0.846153846153846</v>
      </c>
    </row>
    <row r="7" customFormat="false" ht="15" hidden="false" customHeight="false" outlineLevel="0" collapsed="false">
      <c r="A7" s="7" t="s">
        <v>18</v>
      </c>
      <c r="B7" s="8" t="s">
        <v>17</v>
      </c>
      <c r="C7" s="9" t="n">
        <v>300</v>
      </c>
      <c r="D7" s="10" t="n">
        <v>570000</v>
      </c>
      <c r="E7" s="11" t="n">
        <f aca="false">'매입 구성'!H12</f>
        <v>371200</v>
      </c>
      <c r="F7" s="12" t="n">
        <f aca="false">D7-E7</f>
        <v>198800</v>
      </c>
      <c r="G7" s="13" t="n">
        <f aca="false">IFERROR(F7/D7,0)</f>
        <v>0.348771929824561</v>
      </c>
      <c r="H7" s="14" t="n">
        <f aca="false">C7*D7</f>
        <v>171000000</v>
      </c>
      <c r="I7" s="14" t="n">
        <f aca="false">C7*E7</f>
        <v>111360000</v>
      </c>
      <c r="J7" s="12" t="n">
        <f aca="false">C7*F7</f>
        <v>59640000</v>
      </c>
      <c r="L7" s="1" t="n">
        <v>680000</v>
      </c>
      <c r="M7" s="15" t="n">
        <f aca="false">L7*C7</f>
        <v>204000000</v>
      </c>
      <c r="N7" s="16" t="n">
        <f aca="false">D7/L7</f>
        <v>0.838235294117647</v>
      </c>
    </row>
    <row r="8" customFormat="false" ht="15" hidden="false" customHeight="false" outlineLevel="0" collapsed="false">
      <c r="A8" s="7" t="s">
        <v>19</v>
      </c>
      <c r="B8" s="8" t="s">
        <v>17</v>
      </c>
      <c r="C8" s="9" t="n">
        <v>50</v>
      </c>
      <c r="D8" s="10" t="n">
        <v>580000</v>
      </c>
      <c r="E8" s="11" t="n">
        <f aca="false">'매입 구성'!H19</f>
        <v>470300</v>
      </c>
      <c r="F8" s="12" t="n">
        <f aca="false">D8-E8</f>
        <v>109700</v>
      </c>
      <c r="G8" s="13" t="n">
        <f aca="false">IFERROR(F8/D8,0)</f>
        <v>0.189137931034483</v>
      </c>
      <c r="H8" s="14" t="n">
        <f aca="false">C8*D8</f>
        <v>29000000</v>
      </c>
      <c r="I8" s="14" t="n">
        <f aca="false">C8*E8</f>
        <v>23515000</v>
      </c>
      <c r="J8" s="12" t="n">
        <f aca="false">C8*F8</f>
        <v>5485000</v>
      </c>
      <c r="L8" s="1" t="n">
        <v>680000</v>
      </c>
      <c r="M8" s="15" t="n">
        <f aca="false">L8*C8</f>
        <v>34000000</v>
      </c>
      <c r="N8" s="16" t="n">
        <f aca="false">D8/L8</f>
        <v>0.852941176470588</v>
      </c>
    </row>
    <row r="9" customFormat="false" ht="15" hidden="false" customHeight="false" outlineLevel="0" collapsed="false">
      <c r="A9" s="7" t="s">
        <v>20</v>
      </c>
      <c r="B9" s="8" t="s">
        <v>17</v>
      </c>
      <c r="C9" s="9" t="n">
        <v>100</v>
      </c>
      <c r="D9" s="10" t="n">
        <v>1450000</v>
      </c>
      <c r="E9" s="11" t="n">
        <f aca="false">'매입 구성'!H32</f>
        <v>1095835</v>
      </c>
      <c r="F9" s="12" t="n">
        <f aca="false">D9-E9</f>
        <v>354165</v>
      </c>
      <c r="G9" s="13" t="n">
        <f aca="false">IFERROR(F9/D9,0)</f>
        <v>0.244251724137931</v>
      </c>
      <c r="H9" s="14" t="n">
        <f aca="false">C9*D9</f>
        <v>145000000</v>
      </c>
      <c r="I9" s="14" t="n">
        <f aca="false">C9*E9</f>
        <v>109583500</v>
      </c>
      <c r="J9" s="12" t="n">
        <f aca="false">C9*F9</f>
        <v>35416500</v>
      </c>
      <c r="L9" s="1" t="n">
        <v>1170000</v>
      </c>
      <c r="M9" s="15" t="n">
        <f aca="false">L9*C9</f>
        <v>117000000</v>
      </c>
      <c r="N9" s="16" t="n">
        <f aca="false">D9/L9</f>
        <v>1.23931623931624</v>
      </c>
    </row>
    <row r="10" customFormat="false" ht="24" hidden="false" customHeight="true" outlineLevel="0" collapsed="false">
      <c r="A10" s="17" t="s">
        <v>21</v>
      </c>
      <c r="B10" s="17"/>
      <c r="C10" s="17"/>
      <c r="D10" s="17"/>
      <c r="E10" s="17"/>
      <c r="F10" s="17"/>
      <c r="G10" s="18" t="n">
        <f aca="false">IFERROR(J10/H10,0)</f>
        <v>0.274137413394919</v>
      </c>
      <c r="H10" s="19" t="n">
        <f aca="false">SUM(H6:H9)</f>
        <v>433000000</v>
      </c>
      <c r="I10" s="19" t="n">
        <f aca="false">SUM(I6:I9)</f>
        <v>314298500</v>
      </c>
      <c r="J10" s="20" t="n">
        <f aca="false">SUM(J6:J9)</f>
        <v>118701500</v>
      </c>
      <c r="M10" s="21" t="n">
        <f aca="false">SUM(M6:M9)</f>
        <v>459000000</v>
      </c>
      <c r="N10" s="22" t="n">
        <f aca="false">H10/M10</f>
        <v>0.943355119825708</v>
      </c>
    </row>
    <row r="11" customFormat="false" ht="15" hidden="false" customHeight="false" outlineLevel="0" collapsed="false">
      <c r="J11" s="23"/>
      <c r="K11" s="16"/>
    </row>
    <row r="12" customFormat="false" ht="21.75" hidden="false" customHeight="true" outlineLevel="0" collapsed="false">
      <c r="A12" s="4" t="s">
        <v>22</v>
      </c>
      <c r="B12" s="4"/>
      <c r="C12" s="4"/>
      <c r="D12" s="4"/>
      <c r="E12" s="4"/>
      <c r="F12" s="4"/>
      <c r="G12" s="4"/>
      <c r="H12" s="4"/>
      <c r="I12" s="4"/>
      <c r="J12" s="4"/>
    </row>
    <row r="13" customFormat="false" ht="27.75" hidden="false" customHeight="true" outlineLevel="0" collapsed="false">
      <c r="A13" s="5" t="s">
        <v>3</v>
      </c>
      <c r="B13" s="5" t="s">
        <v>4</v>
      </c>
      <c r="C13" s="5" t="s">
        <v>5</v>
      </c>
      <c r="D13" s="5" t="s">
        <v>6</v>
      </c>
      <c r="E13" s="5" t="s">
        <v>7</v>
      </c>
      <c r="F13" s="5" t="s">
        <v>8</v>
      </c>
      <c r="G13" s="5" t="s">
        <v>9</v>
      </c>
      <c r="H13" s="5" t="s">
        <v>10</v>
      </c>
      <c r="I13" s="5" t="s">
        <v>11</v>
      </c>
      <c r="J13" s="5" t="s">
        <v>12</v>
      </c>
      <c r="L13" s="15" t="s">
        <v>23</v>
      </c>
    </row>
    <row r="14" customFormat="false" ht="15" hidden="false" customHeight="false" outlineLevel="0" collapsed="false">
      <c r="A14" s="7" t="s">
        <v>16</v>
      </c>
      <c r="B14" s="8" t="s">
        <v>24</v>
      </c>
      <c r="C14" s="9" t="n">
        <v>200</v>
      </c>
      <c r="D14" s="10" t="n">
        <v>440000</v>
      </c>
      <c r="E14" s="11" t="n">
        <f aca="false">'매입 구성'!H9</f>
        <v>342000</v>
      </c>
      <c r="F14" s="12" t="n">
        <f aca="false">D14-E14</f>
        <v>98000</v>
      </c>
      <c r="G14" s="13" t="n">
        <f aca="false">IFERROR(F14/D14,0)</f>
        <v>0.222727272727273</v>
      </c>
      <c r="H14" s="14" t="n">
        <f aca="false">C14*D14</f>
        <v>88000000</v>
      </c>
      <c r="I14" s="14" t="n">
        <f aca="false">C14*E14</f>
        <v>68400000</v>
      </c>
      <c r="J14" s="12" t="n">
        <f aca="false">C14*F14</f>
        <v>19600000</v>
      </c>
      <c r="L14" s="1" t="n">
        <v>520000</v>
      </c>
    </row>
    <row r="15" customFormat="false" ht="15" hidden="false" customHeight="false" outlineLevel="0" collapsed="false">
      <c r="A15" s="7" t="s">
        <v>18</v>
      </c>
      <c r="B15" s="8" t="s">
        <v>24</v>
      </c>
      <c r="C15" s="9" t="n">
        <v>300</v>
      </c>
      <c r="D15" s="10" t="n">
        <v>570000</v>
      </c>
      <c r="E15" s="11" t="n">
        <f aca="false">'매입 구성'!H15</f>
        <v>361200</v>
      </c>
      <c r="F15" s="12" t="n">
        <f aca="false">D15-E15</f>
        <v>208800</v>
      </c>
      <c r="G15" s="13" t="n">
        <f aca="false">IFERROR(F15/D15,0)</f>
        <v>0.366315789473684</v>
      </c>
      <c r="H15" s="14" t="n">
        <f aca="false">C15*D15</f>
        <v>171000000</v>
      </c>
      <c r="I15" s="14" t="n">
        <f aca="false">C15*E15</f>
        <v>108360000</v>
      </c>
      <c r="J15" s="12" t="n">
        <f aca="false">C15*F15</f>
        <v>62640000</v>
      </c>
      <c r="L15" s="1" t="n">
        <v>680000</v>
      </c>
    </row>
    <row r="16" customFormat="false" ht="15" hidden="false" customHeight="false" outlineLevel="0" collapsed="false">
      <c r="A16" s="7" t="s">
        <v>19</v>
      </c>
      <c r="B16" s="8" t="s">
        <v>24</v>
      </c>
      <c r="C16" s="9" t="n">
        <v>50</v>
      </c>
      <c r="D16" s="10" t="n">
        <v>580000</v>
      </c>
      <c r="E16" s="11" t="n">
        <f aca="false">'매입 구성'!H23</f>
        <v>463100</v>
      </c>
      <c r="F16" s="12" t="n">
        <f aca="false">D16-E16</f>
        <v>116900</v>
      </c>
      <c r="G16" s="13" t="n">
        <f aca="false">IFERROR(F16/D16,0)</f>
        <v>0.201551724137931</v>
      </c>
      <c r="H16" s="14" t="n">
        <f aca="false">C16*D16</f>
        <v>29000000</v>
      </c>
      <c r="I16" s="14" t="n">
        <f aca="false">C16*E16</f>
        <v>23155000</v>
      </c>
      <c r="J16" s="12" t="n">
        <f aca="false">C16*F16</f>
        <v>5845000</v>
      </c>
      <c r="L16" s="1" t="n">
        <v>680000</v>
      </c>
    </row>
    <row r="17" customFormat="false" ht="15" hidden="false" customHeight="false" outlineLevel="0" collapsed="false">
      <c r="A17" s="7" t="s">
        <v>20</v>
      </c>
      <c r="B17" s="8" t="s">
        <v>17</v>
      </c>
      <c r="C17" s="9" t="n">
        <v>100</v>
      </c>
      <c r="D17" s="24" t="n">
        <f aca="false">D9</f>
        <v>1450000</v>
      </c>
      <c r="E17" s="11" t="n">
        <f aca="false">'매입 구성'!H32</f>
        <v>1095835</v>
      </c>
      <c r="F17" s="12" t="n">
        <f aca="false">D17-E17</f>
        <v>354165</v>
      </c>
      <c r="G17" s="13" t="n">
        <f aca="false">IFERROR(F17/D17,0)</f>
        <v>0.244251724137931</v>
      </c>
      <c r="H17" s="14" t="n">
        <f aca="false">C17*D17</f>
        <v>145000000</v>
      </c>
      <c r="I17" s="14" t="n">
        <f aca="false">C17*E17</f>
        <v>109583500</v>
      </c>
      <c r="J17" s="12" t="n">
        <f aca="false">C17*F17</f>
        <v>35416500</v>
      </c>
      <c r="L17" s="1" t="n">
        <v>1170000</v>
      </c>
    </row>
    <row r="18" customFormat="false" ht="24" hidden="false" customHeight="true" outlineLevel="0" collapsed="false">
      <c r="A18" s="17" t="s">
        <v>21</v>
      </c>
      <c r="B18" s="17"/>
      <c r="C18" s="17"/>
      <c r="D18" s="17"/>
      <c r="E18" s="17"/>
      <c r="F18" s="17"/>
      <c r="G18" s="18" t="n">
        <f aca="false">IFERROR(J18/H18,0)</f>
        <v>0.28522286374134</v>
      </c>
      <c r="H18" s="19" t="n">
        <f aca="false">SUM(H14:H17)</f>
        <v>433000000</v>
      </c>
      <c r="I18" s="19" t="n">
        <f aca="false">SUM(I14:I17)</f>
        <v>309498500</v>
      </c>
      <c r="J18" s="20" t="n">
        <f aca="false">SUM(J14:J17)</f>
        <v>123501500</v>
      </c>
    </row>
    <row r="20" customFormat="false" ht="21.75" hidden="false" customHeight="true" outlineLevel="0" collapsed="false">
      <c r="A20" s="25" t="str">
        <f aca="false">"▶ DC24V로 견적 제출 시: 연간 "&amp;TEXT(J10,"#,##0")&amp;"원 남습니다 (마진율 "&amp;TEXT(G10,"0.0%")&amp;")"</f>
        <v>▶ DC24V로 견적 제출 시: 연간 118,701,500원 남습니다 (마진율 27.4%)</v>
      </c>
      <c r="B20" s="25"/>
      <c r="C20" s="25"/>
      <c r="D20" s="25"/>
      <c r="E20" s="25"/>
      <c r="F20" s="25"/>
      <c r="G20" s="25"/>
      <c r="H20" s="25"/>
      <c r="I20" s="25"/>
      <c r="J20" s="25"/>
    </row>
    <row r="21" customFormat="false" ht="21.75" hidden="false" customHeight="true" outlineLevel="0" collapsed="false">
      <c r="A21" s="25" t="str">
        <f aca="false">"▶ AC220V로 견적 제출 시: 연간 "&amp;TEXT(J18,"#,##0")&amp;"원 남습니다 (마진율 "&amp;TEXT(G18,"0.0%")&amp;")"</f>
        <v>▶ AC220V로 견적 제출 시: 연간 123,501,500원 남습니다 (마진율 28.5%)</v>
      </c>
      <c r="B21" s="25"/>
      <c r="C21" s="25"/>
      <c r="D21" s="25"/>
      <c r="E21" s="25"/>
      <c r="F21" s="25"/>
      <c r="G21" s="25"/>
      <c r="H21" s="25"/>
      <c r="I21" s="25"/>
      <c r="J21" s="25"/>
    </row>
    <row r="22" customFormat="false" ht="21.75" hidden="false" customHeight="true" outlineLevel="0" collapsed="false">
      <c r="A22" s="26" t="str">
        <f aca="false">IF(F9&lt;0,"▶ MCC는 1대 "&amp;TEXT(F9,"#,##0")&amp;"원 ("&amp;TEXT(G9,"0.0%")&amp;"), 연 "&amp;TEXT(J9,"#,##0")&amp;"원 손실 — TSU · ANU · ANU-S 마진으로 흡수","▶ MCC 마진: 1대 "&amp;TEXT(F9,"#,##0")&amp;"원")</f>
        <v>▶ MCC 마진: 1대 354,165원</v>
      </c>
      <c r="B22" s="26"/>
      <c r="C22" s="26"/>
      <c r="D22" s="26"/>
      <c r="E22" s="26"/>
      <c r="F22" s="26"/>
      <c r="G22" s="26"/>
      <c r="H22" s="26"/>
      <c r="I22" s="26"/>
      <c r="J22" s="26"/>
    </row>
    <row r="23" customFormat="false" ht="15" hidden="false" customHeight="false" outlineLevel="0" collapsed="false">
      <c r="A23" s="27" t="str">
        <f aca="false">"▶ 16점 제출안 대비 (MCC 매입 1,226,900원): MCC 매입가 1대 "&amp;TEXT(1226900-E9,"#,##0")&amp;"원 절감 → 연 "&amp;TEXT((1226900-E9)*C9,"#,##0")&amp;"원 마진 증가"</f>
        <v>▶ 16점 제출안 대비 (MCC 매입 1,226,900원): MCC 매입가 1대 131,065원 절감 → 연 13,106,500원 마진 증가</v>
      </c>
    </row>
    <row r="24" customFormat="false" ht="15" hidden="false" customHeight="false" outlineLevel="0" collapsed="false">
      <c r="A24" s="28" t="s">
        <v>25</v>
      </c>
    </row>
  </sheetData>
  <mergeCells count="8">
    <mergeCell ref="A1:J1"/>
    <mergeCell ref="A4:J4"/>
    <mergeCell ref="A10:F10"/>
    <mergeCell ref="A12:J12"/>
    <mergeCell ref="A18:F18"/>
    <mergeCell ref="A20:J20"/>
    <mergeCell ref="A21:J21"/>
    <mergeCell ref="A22:J22"/>
  </mergeCells>
  <conditionalFormatting sqref="F6:J9 J11">
    <cfRule type="expression" priority="2" aboveAverage="0" equalAverage="0" bottom="0" percent="0" rank="0" text="" dxfId="0">
      <formula>F6&lt;0</formula>
    </cfRule>
  </conditionalFormatting>
  <conditionalFormatting sqref="F14:J17">
    <cfRule type="expression" priority="3" aboveAverage="0" equalAverage="0" bottom="0" percent="0" rank="0" text="" dxfId="0">
      <formula>F14&lt;0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3"/>
  <sheetViews>
    <sheetView showFormulas="false" showGridLines="fals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J27" activeCellId="0" sqref="J27"/>
    </sheetView>
  </sheetViews>
  <sheetFormatPr defaultColWidth="8.57421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13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15" width="12.14"/>
  </cols>
  <sheetData>
    <row r="1" customFormat="false" ht="19.5" hidden="false" customHeight="true" outlineLevel="0" collapsed="false">
      <c r="A1" s="29" t="s">
        <v>26</v>
      </c>
      <c r="B1" s="29"/>
      <c r="C1" s="29"/>
      <c r="D1" s="29"/>
      <c r="E1" s="29"/>
      <c r="F1" s="29"/>
      <c r="G1" s="29"/>
      <c r="H1" s="29"/>
    </row>
    <row r="2" customFormat="false" ht="15" hidden="false" customHeight="false" outlineLevel="0" collapsed="false">
      <c r="A2" s="3" t="s">
        <v>27</v>
      </c>
    </row>
    <row r="4" customFormat="false" ht="16.5" hidden="false" customHeight="true" outlineLevel="0" collapsed="false">
      <c r="A4" s="30" t="s">
        <v>3</v>
      </c>
      <c r="B4" s="30" t="s">
        <v>4</v>
      </c>
      <c r="C4" s="30" t="s">
        <v>28</v>
      </c>
      <c r="D4" s="30" t="s">
        <v>29</v>
      </c>
      <c r="E4" s="30" t="s">
        <v>30</v>
      </c>
      <c r="F4" s="30" t="s">
        <v>31</v>
      </c>
      <c r="G4" s="30" t="s">
        <v>32</v>
      </c>
      <c r="H4" s="30" t="s">
        <v>33</v>
      </c>
      <c r="I4" s="31" t="s">
        <v>34</v>
      </c>
    </row>
    <row r="5" customFormat="false" ht="15" hidden="false" customHeight="false" outlineLevel="0" collapsed="false">
      <c r="A5" s="32" t="s">
        <v>16</v>
      </c>
      <c r="B5" s="8" t="s">
        <v>17</v>
      </c>
      <c r="C5" s="33" t="s">
        <v>35</v>
      </c>
      <c r="D5" s="34" t="n">
        <v>1</v>
      </c>
      <c r="E5" s="35" t="n">
        <v>873000</v>
      </c>
      <c r="F5" s="36" t="n">
        <v>0.4</v>
      </c>
      <c r="G5" s="37" t="n">
        <f aca="false">ROUND(E5*F5,0)</f>
        <v>349200</v>
      </c>
      <c r="H5" s="37" t="n">
        <f aca="false">D5*G5</f>
        <v>349200</v>
      </c>
    </row>
    <row r="6" customFormat="false" ht="15" hidden="false" customHeight="false" outlineLevel="0" collapsed="false">
      <c r="A6" s="38" t="s">
        <v>36</v>
      </c>
      <c r="B6" s="38"/>
      <c r="C6" s="38"/>
      <c r="D6" s="38"/>
      <c r="E6" s="38"/>
      <c r="F6" s="38"/>
      <c r="G6" s="38"/>
      <c r="H6" s="39" t="n">
        <f aca="false">SUM(H5:H5)</f>
        <v>349200</v>
      </c>
      <c r="I6" s="15" t="n">
        <v>440000</v>
      </c>
    </row>
    <row r="8" customFormat="false" ht="15" hidden="false" customHeight="false" outlineLevel="0" collapsed="false">
      <c r="A8" s="32" t="s">
        <v>16</v>
      </c>
      <c r="B8" s="8" t="s">
        <v>24</v>
      </c>
      <c r="C8" s="33" t="s">
        <v>37</v>
      </c>
      <c r="D8" s="34" t="n">
        <v>1</v>
      </c>
      <c r="E8" s="35" t="n">
        <v>855000</v>
      </c>
      <c r="F8" s="36" t="n">
        <v>0.4</v>
      </c>
      <c r="G8" s="37" t="n">
        <f aca="false">ROUND(E8*F8,0)</f>
        <v>342000</v>
      </c>
      <c r="H8" s="37" t="n">
        <f aca="false">D8*G8</f>
        <v>342000</v>
      </c>
    </row>
    <row r="9" customFormat="false" ht="15" hidden="false" customHeight="false" outlineLevel="0" collapsed="false">
      <c r="A9" s="38" t="s">
        <v>38</v>
      </c>
      <c r="B9" s="38"/>
      <c r="C9" s="38"/>
      <c r="D9" s="38"/>
      <c r="E9" s="38"/>
      <c r="F9" s="38"/>
      <c r="G9" s="38"/>
      <c r="H9" s="39" t="n">
        <f aca="false">SUM(H8:H8)</f>
        <v>342000</v>
      </c>
      <c r="I9" s="15" t="n">
        <v>440000</v>
      </c>
    </row>
    <row r="11" customFormat="false" ht="15" hidden="false" customHeight="false" outlineLevel="0" collapsed="false">
      <c r="A11" s="32" t="s">
        <v>18</v>
      </c>
      <c r="B11" s="8" t="s">
        <v>17</v>
      </c>
      <c r="C11" s="33" t="s">
        <v>39</v>
      </c>
      <c r="D11" s="34" t="n">
        <v>1</v>
      </c>
      <c r="E11" s="35" t="n">
        <v>928000</v>
      </c>
      <c r="F11" s="36" t="n">
        <v>0.4</v>
      </c>
      <c r="G11" s="37" t="n">
        <f aca="false">ROUND(E11*F11,0)</f>
        <v>371200</v>
      </c>
      <c r="H11" s="37" t="n">
        <f aca="false">D11*G11</f>
        <v>371200</v>
      </c>
    </row>
    <row r="12" customFormat="false" ht="15" hidden="false" customHeight="false" outlineLevel="0" collapsed="false">
      <c r="A12" s="38" t="s">
        <v>40</v>
      </c>
      <c r="B12" s="38"/>
      <c r="C12" s="38"/>
      <c r="D12" s="38"/>
      <c r="E12" s="38"/>
      <c r="F12" s="38"/>
      <c r="G12" s="38"/>
      <c r="H12" s="39" t="n">
        <f aca="false">SUM(H11:H11)</f>
        <v>371200</v>
      </c>
      <c r="I12" s="15" t="n">
        <v>570000</v>
      </c>
    </row>
    <row r="14" customFormat="false" ht="15" hidden="false" customHeight="false" outlineLevel="0" collapsed="false">
      <c r="A14" s="32" t="s">
        <v>18</v>
      </c>
      <c r="B14" s="8" t="s">
        <v>24</v>
      </c>
      <c r="C14" s="33" t="s">
        <v>41</v>
      </c>
      <c r="D14" s="34" t="n">
        <v>1</v>
      </c>
      <c r="E14" s="35" t="n">
        <v>903000</v>
      </c>
      <c r="F14" s="36" t="n">
        <v>0.4</v>
      </c>
      <c r="G14" s="37" t="n">
        <f aca="false">ROUND(E14*F14,0)</f>
        <v>361200</v>
      </c>
      <c r="H14" s="37" t="n">
        <f aca="false">D14*G14</f>
        <v>361200</v>
      </c>
    </row>
    <row r="15" customFormat="false" ht="15" hidden="false" customHeight="false" outlineLevel="0" collapsed="false">
      <c r="A15" s="38" t="s">
        <v>42</v>
      </c>
      <c r="B15" s="38"/>
      <c r="C15" s="38"/>
      <c r="D15" s="38"/>
      <c r="E15" s="38"/>
      <c r="F15" s="38"/>
      <c r="G15" s="38"/>
      <c r="H15" s="39" t="n">
        <f aca="false">SUM(H14:H14)</f>
        <v>361200</v>
      </c>
      <c r="I15" s="15" t="n">
        <v>570000</v>
      </c>
    </row>
    <row r="17" customFormat="false" ht="15" hidden="false" customHeight="false" outlineLevel="0" collapsed="false">
      <c r="A17" s="32" t="s">
        <v>19</v>
      </c>
      <c r="B17" s="8" t="s">
        <v>17</v>
      </c>
      <c r="C17" s="33" t="s">
        <v>35</v>
      </c>
      <c r="D17" s="34" t="n">
        <v>1</v>
      </c>
      <c r="E17" s="35" t="n">
        <v>873000</v>
      </c>
      <c r="F17" s="36" t="n">
        <v>0.4</v>
      </c>
      <c r="G17" s="37" t="n">
        <f aca="false">ROUND(E17*F17,0)</f>
        <v>349200</v>
      </c>
      <c r="H17" s="37" t="n">
        <f aca="false">D17*G17</f>
        <v>349200</v>
      </c>
    </row>
    <row r="18" customFormat="false" ht="15" hidden="false" customHeight="false" outlineLevel="0" collapsed="false">
      <c r="A18" s="32" t="s">
        <v>19</v>
      </c>
      <c r="B18" s="8" t="s">
        <v>17</v>
      </c>
      <c r="C18" s="33" t="s">
        <v>43</v>
      </c>
      <c r="D18" s="34" t="n">
        <v>1</v>
      </c>
      <c r="E18" s="35" t="n">
        <v>346000</v>
      </c>
      <c r="F18" s="36" t="n">
        <v>0.35</v>
      </c>
      <c r="G18" s="37" t="n">
        <f aca="false">ROUND(E18*F18,0)</f>
        <v>121100</v>
      </c>
      <c r="H18" s="37" t="n">
        <f aca="false">D18*G18</f>
        <v>121100</v>
      </c>
    </row>
    <row r="19" customFormat="false" ht="15" hidden="false" customHeight="false" outlineLevel="0" collapsed="false">
      <c r="A19" s="38" t="s">
        <v>44</v>
      </c>
      <c r="B19" s="38"/>
      <c r="C19" s="38"/>
      <c r="D19" s="38"/>
      <c r="E19" s="38"/>
      <c r="F19" s="38"/>
      <c r="G19" s="38"/>
      <c r="H19" s="39" t="n">
        <f aca="false">SUM(H17:H18)</f>
        <v>470300</v>
      </c>
      <c r="I19" s="15" t="n">
        <v>580000</v>
      </c>
    </row>
    <row r="21" customFormat="false" ht="15" hidden="false" customHeight="false" outlineLevel="0" collapsed="false">
      <c r="A21" s="32" t="s">
        <v>19</v>
      </c>
      <c r="B21" s="8" t="s">
        <v>24</v>
      </c>
      <c r="C21" s="33" t="s">
        <v>37</v>
      </c>
      <c r="D21" s="34" t="n">
        <v>1</v>
      </c>
      <c r="E21" s="35" t="n">
        <v>855000</v>
      </c>
      <c r="F21" s="36" t="n">
        <v>0.4</v>
      </c>
      <c r="G21" s="37" t="n">
        <f aca="false">ROUND(E21*F21,0)</f>
        <v>342000</v>
      </c>
      <c r="H21" s="37" t="n">
        <f aca="false">D21*G21</f>
        <v>342000</v>
      </c>
    </row>
    <row r="22" customFormat="false" ht="15" hidden="false" customHeight="false" outlineLevel="0" collapsed="false">
      <c r="A22" s="32" t="s">
        <v>19</v>
      </c>
      <c r="B22" s="8" t="s">
        <v>24</v>
      </c>
      <c r="C22" s="33" t="s">
        <v>43</v>
      </c>
      <c r="D22" s="34" t="n">
        <v>1</v>
      </c>
      <c r="E22" s="35" t="n">
        <v>346000</v>
      </c>
      <c r="F22" s="36" t="n">
        <v>0.35</v>
      </c>
      <c r="G22" s="37" t="n">
        <f aca="false">ROUND(E22*F22,0)</f>
        <v>121100</v>
      </c>
      <c r="H22" s="37" t="n">
        <f aca="false">D22*G22</f>
        <v>121100</v>
      </c>
    </row>
    <row r="23" customFormat="false" ht="15" hidden="false" customHeight="false" outlineLevel="0" collapsed="false">
      <c r="A23" s="38" t="s">
        <v>45</v>
      </c>
      <c r="B23" s="38"/>
      <c r="C23" s="38"/>
      <c r="D23" s="38"/>
      <c r="E23" s="38"/>
      <c r="F23" s="38"/>
      <c r="G23" s="38"/>
      <c r="H23" s="39" t="n">
        <f aca="false">SUM(H21:H22)</f>
        <v>463100</v>
      </c>
      <c r="I23" s="15" t="n">
        <v>580000</v>
      </c>
    </row>
    <row r="25" customFormat="false" ht="15" hidden="false" customHeight="false" outlineLevel="0" collapsed="false">
      <c r="A25" s="32" t="s">
        <v>20</v>
      </c>
      <c r="B25" s="8" t="s">
        <v>17</v>
      </c>
      <c r="C25" s="33" t="s">
        <v>46</v>
      </c>
      <c r="D25" s="34" t="n">
        <v>1</v>
      </c>
      <c r="E25" s="35" t="n">
        <v>920000</v>
      </c>
      <c r="F25" s="36" t="n">
        <v>0.4</v>
      </c>
      <c r="G25" s="37" t="n">
        <f aca="false">ROUND(E25*F25,0)</f>
        <v>368000</v>
      </c>
      <c r="H25" s="37" t="n">
        <f aca="false">D25*G25</f>
        <v>368000</v>
      </c>
    </row>
    <row r="26" customFormat="false" ht="15" hidden="false" customHeight="false" outlineLevel="0" collapsed="false">
      <c r="A26" s="40" t="s">
        <v>20</v>
      </c>
      <c r="B26" s="41" t="s">
        <v>17</v>
      </c>
      <c r="C26" s="42" t="s">
        <v>47</v>
      </c>
      <c r="D26" s="43" t="n">
        <v>2</v>
      </c>
      <c r="E26" s="44" t="n">
        <v>387600</v>
      </c>
      <c r="F26" s="45" t="n">
        <v>0.35</v>
      </c>
      <c r="G26" s="46" t="n">
        <f aca="false">ROUND(E26*F26,0)</f>
        <v>135660</v>
      </c>
      <c r="H26" s="46" t="n">
        <f aca="false">D26*G26</f>
        <v>271320</v>
      </c>
    </row>
    <row r="27" customFormat="false" ht="15" hidden="false" customHeight="false" outlineLevel="0" collapsed="false">
      <c r="A27" s="40" t="s">
        <v>20</v>
      </c>
      <c r="B27" s="41" t="s">
        <v>17</v>
      </c>
      <c r="C27" s="42" t="s">
        <v>48</v>
      </c>
      <c r="D27" s="43" t="n">
        <v>1</v>
      </c>
      <c r="E27" s="47" t="n">
        <v>228000</v>
      </c>
      <c r="F27" s="48" t="n">
        <v>0.35</v>
      </c>
      <c r="G27" s="46" t="n">
        <f aca="false">ROUND(E27*F27,0)</f>
        <v>79800</v>
      </c>
      <c r="H27" s="46" t="n">
        <f aca="false">D27*G27</f>
        <v>79800</v>
      </c>
    </row>
    <row r="28" customFormat="false" ht="15" hidden="false" customHeight="false" outlineLevel="0" collapsed="false">
      <c r="A28" s="49" t="s">
        <v>20</v>
      </c>
      <c r="B28" s="50" t="s">
        <v>17</v>
      </c>
      <c r="C28" s="51" t="s">
        <v>49</v>
      </c>
      <c r="D28" s="52" t="n">
        <v>1</v>
      </c>
      <c r="E28" s="44" t="n">
        <v>385900</v>
      </c>
      <c r="F28" s="45" t="n">
        <v>0.35</v>
      </c>
      <c r="G28" s="53" t="n">
        <f aca="false">ROUND(E28*F28,0)</f>
        <v>135065</v>
      </c>
      <c r="H28" s="53" t="n">
        <f aca="false">D28*G28</f>
        <v>135065</v>
      </c>
    </row>
    <row r="29" customFormat="false" ht="15" hidden="false" customHeight="false" outlineLevel="0" collapsed="false">
      <c r="A29" s="40" t="s">
        <v>20</v>
      </c>
      <c r="B29" s="41" t="s">
        <v>17</v>
      </c>
      <c r="C29" s="42" t="s">
        <v>50</v>
      </c>
      <c r="D29" s="43" t="n">
        <v>1</v>
      </c>
      <c r="E29" s="47" t="n">
        <v>168000</v>
      </c>
      <c r="F29" s="48" t="n">
        <v>0.35</v>
      </c>
      <c r="G29" s="46" t="n">
        <f aca="false">ROUND(E29*F29,0)</f>
        <v>58800</v>
      </c>
      <c r="H29" s="46" t="n">
        <f aca="false">D29*G29</f>
        <v>58800</v>
      </c>
    </row>
    <row r="30" customFormat="false" ht="15" hidden="false" customHeight="false" outlineLevel="0" collapsed="false">
      <c r="A30" s="49" t="s">
        <v>20</v>
      </c>
      <c r="B30" s="50" t="s">
        <v>17</v>
      </c>
      <c r="C30" s="51" t="s">
        <v>51</v>
      </c>
      <c r="D30" s="52" t="n">
        <v>1</v>
      </c>
      <c r="E30" s="54" t="n">
        <v>351000</v>
      </c>
      <c r="F30" s="55" t="n">
        <v>0.35</v>
      </c>
      <c r="G30" s="53" t="n">
        <f aca="false">ROUND(E30*F30,0)</f>
        <v>122850</v>
      </c>
      <c r="H30" s="53" t="n">
        <f aca="false">D30*G30</f>
        <v>122850</v>
      </c>
    </row>
    <row r="31" customFormat="false" ht="15" hidden="false" customHeight="false" outlineLevel="0" collapsed="false">
      <c r="A31" s="49" t="s">
        <v>20</v>
      </c>
      <c r="B31" s="50" t="s">
        <v>17</v>
      </c>
      <c r="C31" s="51" t="s">
        <v>52</v>
      </c>
      <c r="D31" s="52" t="n">
        <v>6</v>
      </c>
      <c r="E31" s="44" t="n">
        <v>10000</v>
      </c>
      <c r="F31" s="45" t="n">
        <v>1</v>
      </c>
      <c r="G31" s="53" t="n">
        <f aca="false">ROUND(E31*F31,0)</f>
        <v>10000</v>
      </c>
      <c r="H31" s="53" t="n">
        <f aca="false">D31*G31</f>
        <v>60000</v>
      </c>
    </row>
    <row r="32" customFormat="false" ht="15" hidden="false" customHeight="false" outlineLevel="0" collapsed="false">
      <c r="A32" s="38" t="s">
        <v>53</v>
      </c>
      <c r="B32" s="38"/>
      <c r="C32" s="38"/>
      <c r="D32" s="38"/>
      <c r="E32" s="38"/>
      <c r="F32" s="38"/>
      <c r="G32" s="38"/>
      <c r="H32" s="39" t="n">
        <f aca="false">SUM(H25:H31)</f>
        <v>1095835</v>
      </c>
      <c r="I32" s="15" t="n">
        <v>1450000</v>
      </c>
    </row>
    <row r="33" customFormat="false" ht="15" hidden="false" customHeight="false" outlineLevel="0" collapsed="false">
      <c r="A33" s="28" t="s">
        <v>54</v>
      </c>
    </row>
  </sheetData>
  <mergeCells count="8">
    <mergeCell ref="A1:H1"/>
    <mergeCell ref="A6:G6"/>
    <mergeCell ref="A9:G9"/>
    <mergeCell ref="A12:G12"/>
    <mergeCell ref="A15:G15"/>
    <mergeCell ref="A19:G19"/>
    <mergeCell ref="A23:G23"/>
    <mergeCell ref="A32:G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2026-10-06T03:40:50Z</dcterms:created>
  <dc:creator>openpyxl</dc:creator>
  <dc:description/>
  <dc:language>en-US</dc:language>
  <cp:lastModifiedBy>민기 백</cp:lastModifiedBy>
  <dcterms:modified xsi:type="dcterms:W3CDTF">2026-10-06T22:53:54Z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