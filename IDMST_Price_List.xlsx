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Price List" sheetId="2" state="visible" r:id="rId4"/>
    <sheet name="기준사양 매칭" sheetId="3" state="visible" r:id="rId5"/>
    <sheet name="연간 BOM" sheetId="4" state="visible" r:id="rId6"/>
    <sheet name="Schneider 제안 검토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1" authorId="0">
      <text>
        <r>
          <rPr>
            <sz val="10"/>
            <rFont val="WenQuanYi Zen Hei"/>
            <family val="2"/>
          </rPr>
          <t xml:space="preserve">가중평균 할인율 </t>
        </r>
        <r>
          <rPr>
            <sz val="10"/>
            <rFont val="Arial"/>
            <family val="2"/>
          </rPr>
          <t xml:space="preserve">= Special Total / List Total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6" authorId="0">
      <text>
        <r>
          <rPr>
            <sz val="10"/>
            <rFont val="Arial"/>
            <family val="2"/>
          </rPr>
          <t xml:space="preserve">RFQ </t>
        </r>
        <r>
          <rPr>
            <sz val="10"/>
            <rFont val="WenQuanYi Zen Hei"/>
            <family val="2"/>
          </rPr>
          <t xml:space="preserve">필수 점수 </t>
        </r>
        <r>
          <rPr>
            <sz val="10"/>
            <rFont val="Arial"/>
            <family val="2"/>
          </rPr>
          <t xml:space="preserve">× 1.1 (</t>
        </r>
        <r>
          <rPr>
            <sz val="10"/>
            <rFont val="WenQuanYi Zen Hei"/>
            <family val="2"/>
          </rPr>
          <t xml:space="preserve">올림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WenQuanYi Zen Hei"/>
            <family val="2"/>
          </rPr>
          <t xml:space="preserve">공통사항 </t>
        </r>
        <r>
          <rPr>
            <sz val="10"/>
            <rFont val="Arial"/>
            <family val="2"/>
          </rPr>
          <t xml:space="preserve">4: +10% Spare </t>
        </r>
        <r>
          <rPr>
            <sz val="10"/>
            <rFont val="WenQuanYi Zen Hei"/>
            <family val="2"/>
          </rPr>
          <t xml:space="preserve">필요</t>
        </r>
        <r>
          <rPr>
            <sz val="10"/>
            <rFont val="Arial"/>
            <family val="2"/>
          </rPr>
          <t xml:space="preserve">. DO</t>
        </r>
        <r>
          <rPr>
            <sz val="10"/>
            <rFont val="WenQuanYi Zen Hei"/>
            <family val="2"/>
          </rPr>
          <t xml:space="preserve">도 동일</t>
        </r>
        <r>
          <rPr>
            <sz val="10"/>
            <rFont val="Arial"/>
            <family val="2"/>
          </rPr>
          <t xml:space="preserve">.</t>
        </r>
      </text>
    </comment>
    <comment ref="H16" authorId="0">
      <text>
        <r>
          <rPr>
            <sz val="10"/>
            <rFont val="Arial"/>
            <family val="2"/>
          </rPr>
          <t xml:space="preserve">RFQ </t>
        </r>
        <r>
          <rPr>
            <sz val="10"/>
            <rFont val="WenQuanYi Zen Hei"/>
            <family val="2"/>
          </rPr>
          <t xml:space="preserve">필수 점수 </t>
        </r>
        <r>
          <rPr>
            <sz val="10"/>
            <rFont val="Arial"/>
            <family val="2"/>
          </rPr>
          <t xml:space="preserve">× 1.1 (</t>
        </r>
        <r>
          <rPr>
            <sz val="10"/>
            <rFont val="WenQuanYi Zen Hei"/>
            <family val="2"/>
          </rPr>
          <t xml:space="preserve">올림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WenQuanYi Zen Hei"/>
            <family val="2"/>
          </rPr>
          <t xml:space="preserve">공통사항 </t>
        </r>
        <r>
          <rPr>
            <sz val="10"/>
            <rFont val="Arial"/>
            <family val="2"/>
          </rPr>
          <t xml:space="preserve">4: +10% Spare </t>
        </r>
        <r>
          <rPr>
            <sz val="10"/>
            <rFont val="WenQuanYi Zen Hei"/>
            <family val="2"/>
          </rPr>
          <t xml:space="preserve">필요</t>
        </r>
        <r>
          <rPr>
            <sz val="10"/>
            <rFont val="Arial"/>
            <family val="2"/>
          </rPr>
          <t xml:space="preserve">. DO</t>
        </r>
        <r>
          <rPr>
            <sz val="10"/>
            <rFont val="WenQuanYi Zen Hei"/>
            <family val="2"/>
          </rPr>
          <t xml:space="preserve">도 동일</t>
        </r>
        <r>
          <rPr>
            <sz val="10"/>
            <rFont val="Arial"/>
            <family val="2"/>
          </rPr>
          <t xml:space="preserve">.</t>
        </r>
      </text>
    </comment>
    <comment ref="H29" authorId="0">
      <text>
        <r>
          <rPr>
            <sz val="10"/>
            <rFont val="Arial"/>
            <family val="2"/>
          </rPr>
          <t xml:space="preserve">RFQ </t>
        </r>
        <r>
          <rPr>
            <sz val="10"/>
            <rFont val="WenQuanYi Zen Hei"/>
            <family val="2"/>
          </rPr>
          <t xml:space="preserve">필수 점수 </t>
        </r>
        <r>
          <rPr>
            <sz val="10"/>
            <rFont val="Arial"/>
            <family val="2"/>
          </rPr>
          <t xml:space="preserve">× 1.1 (</t>
        </r>
        <r>
          <rPr>
            <sz val="10"/>
            <rFont val="WenQuanYi Zen Hei"/>
            <family val="2"/>
          </rPr>
          <t xml:space="preserve">올림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WenQuanYi Zen Hei"/>
            <family val="2"/>
          </rPr>
          <t xml:space="preserve">공통사항 </t>
        </r>
        <r>
          <rPr>
            <sz val="10"/>
            <rFont val="Arial"/>
            <family val="2"/>
          </rPr>
          <t xml:space="preserve">4: +10% Spare </t>
        </r>
        <r>
          <rPr>
            <sz val="10"/>
            <rFont val="WenQuanYi Zen Hei"/>
            <family val="2"/>
          </rPr>
          <t xml:space="preserve">필요</t>
        </r>
        <r>
          <rPr>
            <sz val="10"/>
            <rFont val="Arial"/>
            <family val="2"/>
          </rPr>
          <t xml:space="preserve">. DO</t>
        </r>
        <r>
          <rPr>
            <sz val="10"/>
            <rFont val="WenQuanYi Zen Hei"/>
            <family val="2"/>
          </rPr>
          <t xml:space="preserve">도 동일</t>
        </r>
        <r>
          <rPr>
            <sz val="10"/>
            <rFont val="Arial"/>
            <family val="2"/>
          </rPr>
          <t xml:space="preserve">.</t>
        </r>
      </text>
    </comment>
    <comment ref="H42" authorId="0">
      <text>
        <r>
          <rPr>
            <sz val="10"/>
            <rFont val="Arial"/>
            <family val="2"/>
          </rPr>
          <t xml:space="preserve">CPU DI6 + DI562×6(96). CPU </t>
        </r>
        <r>
          <rPr>
            <sz val="10"/>
            <rFont val="WenQuanYi Zen Hei"/>
            <family val="2"/>
          </rPr>
          <t xml:space="preserve">내장 </t>
        </r>
        <r>
          <rPr>
            <sz val="10"/>
            <rFont val="Arial"/>
            <family val="2"/>
          </rPr>
          <t xml:space="preserve">AI2/AO1</t>
        </r>
        <r>
          <rPr>
            <sz val="10"/>
            <rFont val="WenQuanYi Zen Hei"/>
            <family val="2"/>
          </rPr>
          <t xml:space="preserve">은 </t>
        </r>
        <r>
          <rPr>
            <sz val="10"/>
            <rFont val="Arial"/>
            <family val="2"/>
          </rPr>
          <t xml:space="preserve">Spare</t>
        </r>
        <r>
          <rPr>
            <sz val="10"/>
            <rFont val="WenQuanYi Zen Hei"/>
            <family val="2"/>
          </rPr>
          <t xml:space="preserve">라 제외</t>
        </r>
        <r>
          <rPr>
            <sz val="10"/>
            <rFont val="Arial"/>
            <family val="2"/>
          </rPr>
          <t xml:space="preserve">.</t>
        </r>
      </text>
    </comment>
    <comment ref="K42" authorId="0">
      <text>
        <r>
          <rPr>
            <sz val="10"/>
            <rFont val="Arial"/>
            <family val="2"/>
          </rPr>
          <t xml:space="preserve">CPU DO6 + DO573×3(48). </t>
        </r>
        <r>
          <rPr>
            <sz val="10"/>
            <rFont val="WenQuanYi Zen Hei"/>
            <family val="2"/>
          </rPr>
          <t xml:space="preserve">사양서의 세 번째 </t>
        </r>
        <r>
          <rPr>
            <sz val="10"/>
            <rFont val="Arial"/>
            <family val="2"/>
          </rPr>
          <t xml:space="preserve">DO573 '(AO16)' </t>
        </r>
        <r>
          <rPr>
            <sz val="10"/>
            <rFont val="WenQuanYi Zen Hei"/>
            <family val="2"/>
          </rPr>
          <t xml:space="preserve">표기는 </t>
        </r>
        <r>
          <rPr>
            <sz val="10"/>
            <rFont val="Arial"/>
            <family val="2"/>
          </rPr>
          <t xml:space="preserve">DO16 </t>
        </r>
        <r>
          <rPr>
            <sz val="10"/>
            <rFont val="WenQuanYi Zen Hei"/>
            <family val="2"/>
          </rPr>
          <t xml:space="preserve">오기로 가정</t>
        </r>
        <r>
          <rPr>
            <sz val="10"/>
            <rFont val="Arial"/>
            <family val="2"/>
          </rPr>
          <t xml:space="preserve">.</t>
        </r>
      </text>
    </comment>
    <comment ref="L16" authorId="0">
      <text>
        <r>
          <rPr>
            <sz val="10"/>
            <rFont val="WenQuanYi Zen Hei"/>
            <family val="2"/>
          </rPr>
          <t xml:space="preserve">요구 사양표에는 </t>
        </r>
        <r>
          <rPr>
            <sz val="10"/>
            <rFont val="Arial"/>
            <family val="2"/>
          </rPr>
          <t xml:space="preserve">AO </t>
        </r>
        <r>
          <rPr>
            <sz val="10"/>
            <rFont val="WenQuanYi Zen Hei"/>
            <family val="2"/>
          </rPr>
          <t xml:space="preserve">미표기 — 기존 하드웨어 </t>
        </r>
        <r>
          <rPr>
            <sz val="10"/>
            <rFont val="Arial"/>
            <family val="2"/>
          </rPr>
          <t xml:space="preserve">AO561(AO2) </t>
        </r>
        <r>
          <rPr>
            <sz val="10"/>
            <rFont val="WenQuanYi Zen Hei"/>
            <family val="2"/>
          </rPr>
          <t xml:space="preserve">기준으로 반영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미사용이면 </t>
        </r>
        <r>
          <rPr>
            <sz val="10"/>
            <rFont val="Arial"/>
            <family val="2"/>
          </rPr>
          <t xml:space="preserve">TM3AQ2 </t>
        </r>
        <r>
          <rPr>
            <sz val="10"/>
            <rFont val="WenQuanYi Zen Hei"/>
            <family val="2"/>
          </rPr>
          <t xml:space="preserve">삭제 </t>
        </r>
        <r>
          <rPr>
            <sz val="10"/>
            <rFont val="Arial"/>
            <family val="2"/>
          </rPr>
          <t xml:space="preserve">(-138,400).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30" authorId="0">
      <text>
        <r>
          <rPr>
            <sz val="10"/>
            <rFont val="WenQuanYi Zen Hei"/>
            <family val="2"/>
          </rPr>
          <t xml:space="preserve">제안서 </t>
        </r>
        <r>
          <rPr>
            <sz val="10"/>
            <rFont val="Arial"/>
            <family val="2"/>
          </rPr>
          <t xml:space="preserve">MCC </t>
        </r>
        <r>
          <rPr>
            <sz val="10"/>
            <rFont val="WenQuanYi Zen Hei"/>
            <family val="2"/>
          </rPr>
          <t xml:space="preserve">슬라이드에는 </t>
        </r>
        <r>
          <rPr>
            <sz val="10"/>
            <rFont val="Arial"/>
            <family val="2"/>
          </rPr>
          <t xml:space="preserve">'TM3DI18'</t>
        </r>
        <r>
          <rPr>
            <sz val="10"/>
            <rFont val="WenQuanYi Zen Hei"/>
            <family val="2"/>
          </rPr>
          <t xml:space="preserve">로 표기 — </t>
        </r>
        <r>
          <rPr>
            <sz val="10"/>
            <rFont val="Arial"/>
            <family val="2"/>
          </rPr>
          <t xml:space="preserve">Table1(TM3DI8)</t>
        </r>
        <r>
          <rPr>
            <sz val="10"/>
            <rFont val="WenQuanYi Zen Hei"/>
            <family val="2"/>
          </rPr>
          <t xml:space="preserve">과 </t>
        </r>
        <r>
          <rPr>
            <sz val="10"/>
            <rFont val="Arial"/>
            <family val="2"/>
          </rPr>
          <t xml:space="preserve">DI 8</t>
        </r>
        <r>
          <rPr>
            <sz val="10"/>
            <rFont val="WenQuanYi Zen Hei"/>
            <family val="2"/>
          </rPr>
          <t xml:space="preserve">점 기준으로 </t>
        </r>
        <r>
          <rPr>
            <sz val="10"/>
            <rFont val="Arial"/>
            <family val="2"/>
          </rPr>
          <t xml:space="preserve">TM3DI8 </t>
        </r>
        <r>
          <rPr>
            <sz val="10"/>
            <rFont val="WenQuanYi Zen Hei"/>
            <family val="2"/>
          </rPr>
          <t xml:space="preserve">오기로 판단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<sst xmlns="http://schemas.openxmlformats.org/spreadsheetml/2006/main" count="442" uniqueCount="167">
  <si>
    <r>
      <rPr>
        <b val="true"/>
        <sz val="13"/>
        <rFont val="WenQuanYi Zen Hei"/>
        <family val="2"/>
      </rPr>
      <t xml:space="preserve">기준사양 매칭 요약 — 연간 구매수량 기준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WenQuanYi Zen Hei"/>
        <family val="2"/>
      </rPr>
      <t xml:space="preserve">특가</t>
    </r>
    <r>
      <rPr>
        <b val="true"/>
        <sz val="13"/>
        <rFont val="Arial"/>
        <family val="0"/>
        <charset val="1"/>
      </rPr>
      <t xml:space="preserve">)</t>
    </r>
  </si>
  <si>
    <t xml:space="preserve">시스템</t>
  </si>
  <si>
    <r>
      <rPr>
        <b val="true"/>
        <sz val="10"/>
        <color rgb="FFFFFFFF"/>
        <rFont val="WenQuanYi Zen Hei"/>
        <family val="2"/>
      </rPr>
      <t xml:space="preserve">기존 사양 </t>
    </r>
    <r>
      <rPr>
        <b val="true"/>
        <sz val="10"/>
        <color rgb="FFFFFFFF"/>
        <rFont val="Arial"/>
        <family val="0"/>
        <charset val="1"/>
      </rPr>
      <t xml:space="preserve">(ABB)</t>
    </r>
  </si>
  <si>
    <r>
      <rPr>
        <b val="true"/>
        <sz val="10"/>
        <color rgb="FFFFFFFF"/>
        <rFont val="WenQuanYi Zen Hei"/>
        <family val="2"/>
      </rPr>
      <t xml:space="preserve">연간 구매수량
</t>
    </r>
    <r>
      <rPr>
        <b val="true"/>
        <sz val="10"/>
        <color rgb="FFFFFFFF"/>
        <rFont val="Arial"/>
        <family val="0"/>
        <charset val="1"/>
      </rPr>
      <t xml:space="preserve">(EA)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</si>
  <si>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A: 24VDC + Relay
(1 set)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</si>
  <si>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B: DC24V </t>
    </r>
    <r>
      <rPr>
        <b val="true"/>
        <sz val="10"/>
        <color rgb="FFFFFFFF"/>
        <rFont val="WenQuanYi Zen Hei"/>
        <family val="2"/>
      </rPr>
      <t xml:space="preserve">최저가
</t>
    </r>
    <r>
      <rPr>
        <b val="true"/>
        <sz val="10"/>
        <color rgb="FFFFFFFF"/>
        <rFont val="Arial"/>
        <family val="0"/>
        <charset val="1"/>
      </rPr>
      <t xml:space="preserve">(1 set)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</si>
  <si>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C: AC220V CPU
(1 set)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</si>
  <si>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연간 금액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</si>
  <si>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연간 금액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</si>
  <si>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C </t>
    </r>
    <r>
      <rPr>
        <b val="true"/>
        <sz val="10"/>
        <color rgb="FFFFFFFF"/>
        <rFont val="WenQuanYi Zen Hei"/>
        <family val="2"/>
      </rPr>
      <t xml:space="preserve">연간 금액</t>
    </r>
  </si>
  <si>
    <t xml:space="preserve">TSU</t>
  </si>
  <si>
    <t xml:space="preserve">ABB PM554-RP + DO571</t>
  </si>
  <si>
    <t xml:space="preserve">ANU</t>
  </si>
  <si>
    <t xml:space="preserve">ABB PM554-RP + DO571 + AO561</t>
  </si>
  <si>
    <t xml:space="preserve">ANU-S</t>
  </si>
  <si>
    <t xml:space="preserve">ABB PM564-RP</t>
  </si>
  <si>
    <t xml:space="preserve">MCC</t>
  </si>
  <si>
    <t xml:space="preserve">ABB PM564-RP-ETH + DI562×6 + DO573×3 + AO561×2</t>
  </si>
  <si>
    <t xml:space="preserve">합계</t>
  </si>
  <si>
    <r>
      <rPr>
        <i val="true"/>
        <sz val="10"/>
        <rFont val="WenQuanYi Zen Hei"/>
        <family val="2"/>
      </rPr>
      <t xml:space="preserve">안</t>
    </r>
    <r>
      <rPr>
        <i val="true"/>
        <sz val="10"/>
        <rFont val="Arial"/>
        <family val="0"/>
        <charset val="1"/>
      </rPr>
      <t xml:space="preserve">A </t>
    </r>
    <r>
      <rPr>
        <i val="true"/>
        <sz val="10"/>
        <rFont val="WenQuanYi Zen Hei"/>
        <family val="2"/>
      </rPr>
      <t xml:space="preserve">대비 연간 차액</t>
    </r>
  </si>
  <si>
    <r>
      <rPr>
        <sz val="9"/>
        <color rgb="FF404040"/>
        <rFont val="WenQuanYi Zen Hei"/>
        <family val="2"/>
      </rPr>
      <t xml:space="preserve">• 기준</t>
    </r>
    <r>
      <rPr>
        <sz val="9"/>
        <color rgb="FF404040"/>
        <rFont val="Arial"/>
        <family val="0"/>
        <charset val="1"/>
      </rPr>
      <t xml:space="preserve">: Techross RFQ 'PLC </t>
    </r>
    <r>
      <rPr>
        <sz val="9"/>
        <color rgb="FF404040"/>
        <rFont val="WenQuanYi Zen Hei"/>
        <family val="2"/>
      </rPr>
      <t xml:space="preserve">사양서 </t>
    </r>
    <r>
      <rPr>
        <sz val="9"/>
        <color rgb="FF404040"/>
        <rFont val="Arial"/>
        <family val="0"/>
        <charset val="1"/>
      </rPr>
      <t xml:space="preserve">R3.1' — </t>
    </r>
    <r>
      <rPr>
        <sz val="9"/>
        <color rgb="FF404040"/>
        <rFont val="WenQuanYi Zen Hei"/>
        <family val="2"/>
      </rPr>
      <t xml:space="preserve">필수 </t>
    </r>
    <r>
      <rPr>
        <sz val="9"/>
        <color rgb="FF404040"/>
        <rFont val="Arial"/>
        <family val="0"/>
        <charset val="1"/>
      </rPr>
      <t xml:space="preserve">DI/DO +10% Spare, TSU/ANU/ANU-S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Arial"/>
        <family val="0"/>
        <charset val="1"/>
      </rPr>
      <t xml:space="preserve">Relay·Tr </t>
    </r>
    <r>
      <rPr>
        <sz val="9"/>
        <color rgb="FF404040"/>
        <rFont val="WenQuanYi Zen Hei"/>
        <family val="2"/>
      </rPr>
      <t xml:space="preserve">모두 가능 </t>
    </r>
    <r>
      <rPr>
        <sz val="9"/>
        <color rgb="FF404040"/>
        <rFont val="Arial"/>
        <family val="0"/>
        <charset val="1"/>
      </rPr>
      <t xml:space="preserve">+ AC220V/DC24V(</t>
    </r>
    <r>
      <rPr>
        <sz val="9"/>
        <color rgb="FF404040"/>
        <rFont val="WenQuanYi Zen Hei"/>
        <family val="2"/>
      </rPr>
      <t xml:space="preserve">권장</t>
    </r>
    <r>
      <rPr>
        <sz val="9"/>
        <color rgb="FF404040"/>
        <rFont val="Arial"/>
        <family val="0"/>
        <charset val="1"/>
      </rPr>
      <t xml:space="preserve">) </t>
    </r>
    <r>
      <rPr>
        <sz val="9"/>
        <color rgb="FF404040"/>
        <rFont val="WenQuanYi Zen Hei"/>
        <family val="2"/>
      </rPr>
      <t xml:space="preserve">각각 견적</t>
    </r>
    <r>
      <rPr>
        <sz val="9"/>
        <color rgb="FF404040"/>
        <rFont val="Arial"/>
        <family val="0"/>
        <charset val="1"/>
      </rPr>
      <t xml:space="preserve">, MCC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Arial"/>
        <family val="0"/>
        <charset val="1"/>
      </rPr>
      <t xml:space="preserve">DC24V + Relay Type Only.</t>
    </r>
  </si>
  <si>
    <r>
      <rPr>
        <sz val="9"/>
        <color rgb="FF404040"/>
        <rFont val="WenQuanYi Zen Hei"/>
        <family val="2"/>
      </rPr>
      <t xml:space="preserve">• 안</t>
    </r>
    <r>
      <rPr>
        <sz val="9"/>
        <color rgb="FF404040"/>
        <rFont val="Arial"/>
        <family val="0"/>
        <charset val="1"/>
      </rPr>
      <t xml:space="preserve">A: </t>
    </r>
    <r>
      <rPr>
        <sz val="9"/>
        <color rgb="FF404040"/>
        <rFont val="WenQuanYi Zen Hei"/>
        <family val="2"/>
      </rPr>
      <t xml:space="preserve">기존 </t>
    </r>
    <r>
      <rPr>
        <sz val="9"/>
        <color rgb="FF404040"/>
        <rFont val="Arial"/>
        <family val="0"/>
        <charset val="1"/>
      </rPr>
      <t xml:space="preserve">ABB</t>
    </r>
    <r>
      <rPr>
        <sz val="9"/>
        <color rgb="FF404040"/>
        <rFont val="WenQuanYi Zen Hei"/>
        <family val="2"/>
      </rPr>
      <t xml:space="preserve">와 같은 </t>
    </r>
    <r>
      <rPr>
        <sz val="9"/>
        <color rgb="FF404040"/>
        <rFont val="Arial"/>
        <family val="0"/>
        <charset val="1"/>
      </rPr>
      <t xml:space="preserve">DC24V + Relay </t>
    </r>
    <r>
      <rPr>
        <sz val="9"/>
        <color rgb="FF404040"/>
        <rFont val="WenQuanYi Zen Hei"/>
        <family val="2"/>
      </rPr>
      <t xml:space="preserve">출력 → 현장 배선</t>
    </r>
    <r>
      <rPr>
        <sz val="9"/>
        <color rgb="FF404040"/>
        <rFont val="Arial"/>
        <family val="0"/>
        <charset val="1"/>
      </rPr>
      <t xml:space="preserve">·</t>
    </r>
    <r>
      <rPr>
        <sz val="9"/>
        <color rgb="FF404040"/>
        <rFont val="WenQuanYi Zen Hei"/>
        <family val="2"/>
      </rPr>
      <t xml:space="preserve">부하 변경 최소화</t>
    </r>
    <r>
      <rPr>
        <sz val="9"/>
        <color rgb="FF404040"/>
        <rFont val="Arial"/>
        <family val="0"/>
        <charset val="1"/>
      </rPr>
      <t xml:space="preserve">. CPU </t>
    </r>
    <r>
      <rPr>
        <sz val="9"/>
        <color rgb="FF404040"/>
        <rFont val="WenQuanYi Zen Hei"/>
        <family val="2"/>
      </rPr>
      <t xml:space="preserve">내장 </t>
    </r>
    <r>
      <rPr>
        <sz val="9"/>
        <color rgb="FF404040"/>
        <rFont val="Arial"/>
        <family val="0"/>
        <charset val="1"/>
      </rPr>
      <t xml:space="preserve">Tr </t>
    </r>
    <r>
      <rPr>
        <sz val="9"/>
        <color rgb="FF404040"/>
        <rFont val="WenQuanYi Zen Hei"/>
        <family val="2"/>
      </rPr>
      <t xml:space="preserve">출력은 </t>
    </r>
    <r>
      <rPr>
        <sz val="9"/>
        <color rgb="FF404040"/>
        <rFont val="Arial"/>
        <family val="0"/>
        <charset val="1"/>
      </rPr>
      <t xml:space="preserve">Spare.</t>
    </r>
  </si>
  <si>
    <r>
      <rPr>
        <sz val="9"/>
        <color rgb="FF404040"/>
        <rFont val="WenQuanYi Zen Hei"/>
        <family val="2"/>
      </rPr>
      <t xml:space="preserve">• 안</t>
    </r>
    <r>
      <rPr>
        <sz val="9"/>
        <color rgb="FF404040"/>
        <rFont val="Arial"/>
        <family val="0"/>
        <charset val="1"/>
      </rPr>
      <t xml:space="preserve">B: RFQ </t>
    </r>
    <r>
      <rPr>
        <sz val="9"/>
        <color rgb="FF404040"/>
        <rFont val="WenQuanYi Zen Hei"/>
        <family val="2"/>
      </rPr>
      <t xml:space="preserve">권장 전압</t>
    </r>
    <r>
      <rPr>
        <sz val="9"/>
        <color rgb="FF404040"/>
        <rFont val="Arial"/>
        <family val="0"/>
        <charset val="1"/>
      </rPr>
      <t xml:space="preserve">(DC24V) </t>
    </r>
    <r>
      <rPr>
        <sz val="9"/>
        <color rgb="FF404040"/>
        <rFont val="WenQuanYi Zen Hei"/>
        <family val="2"/>
      </rPr>
      <t xml:space="preserve">중 최저가 — </t>
    </r>
    <r>
      <rPr>
        <sz val="9"/>
        <color rgb="FF404040"/>
        <rFont val="Arial"/>
        <family val="0"/>
        <charset val="1"/>
      </rPr>
      <t xml:space="preserve">TSU/ANU/ANU-S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Arial"/>
        <family val="0"/>
        <charset val="1"/>
      </rPr>
      <t xml:space="preserve">Tr </t>
    </r>
    <r>
      <rPr>
        <sz val="9"/>
        <color rgb="FF404040"/>
        <rFont val="WenQuanYi Zen Hei"/>
        <family val="2"/>
      </rPr>
      <t xml:space="preserve">출력</t>
    </r>
    <r>
      <rPr>
        <sz val="9"/>
        <color rgb="FF404040"/>
        <rFont val="Arial"/>
        <family val="0"/>
        <charset val="1"/>
      </rPr>
      <t xml:space="preserve">, MCC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Arial"/>
        <family val="0"/>
        <charset val="1"/>
      </rPr>
      <t xml:space="preserve">RFQ</t>
    </r>
    <r>
      <rPr>
        <sz val="9"/>
        <color rgb="FF404040"/>
        <rFont val="WenQuanYi Zen Hei"/>
        <family val="2"/>
      </rPr>
      <t xml:space="preserve">에 따라 </t>
    </r>
    <r>
      <rPr>
        <sz val="9"/>
        <color rgb="FF404040"/>
        <rFont val="Arial"/>
        <family val="0"/>
        <charset val="1"/>
      </rPr>
      <t xml:space="preserve">Relay(</t>
    </r>
    <r>
      <rPr>
        <sz val="9"/>
        <color rgb="FF404040"/>
        <rFont val="WenQuanYi Zen Hei"/>
        <family val="2"/>
      </rPr>
      <t xml:space="preserve">안</t>
    </r>
    <r>
      <rPr>
        <sz val="9"/>
        <color rgb="FF404040"/>
        <rFont val="Arial"/>
        <family val="0"/>
        <charset val="1"/>
      </rPr>
      <t xml:space="preserve">A</t>
    </r>
    <r>
      <rPr>
        <sz val="9"/>
        <color rgb="FF404040"/>
        <rFont val="WenQuanYi Zen Hei"/>
        <family val="2"/>
      </rPr>
      <t xml:space="preserve">와 동일 구성</t>
    </r>
    <r>
      <rPr>
        <sz val="9"/>
        <color rgb="FF404040"/>
        <rFont val="Arial"/>
        <family val="0"/>
        <charset val="1"/>
      </rPr>
      <t xml:space="preserve">).</t>
    </r>
  </si>
  <si>
    <r>
      <rPr>
        <sz val="9"/>
        <color rgb="FF404040"/>
        <rFont val="WenQuanYi Zen Hei"/>
        <family val="2"/>
      </rPr>
      <t xml:space="preserve">• 안</t>
    </r>
    <r>
      <rPr>
        <sz val="9"/>
        <color rgb="FF404040"/>
        <rFont val="Arial"/>
        <family val="0"/>
        <charset val="1"/>
      </rPr>
      <t xml:space="preserve">C: TSU/ANU/ANU-S</t>
    </r>
    <r>
      <rPr>
        <sz val="9"/>
        <color rgb="FF404040"/>
        <rFont val="WenQuanYi Zen Hei"/>
        <family val="2"/>
      </rPr>
      <t xml:space="preserve">를 </t>
    </r>
    <r>
      <rPr>
        <sz val="9"/>
        <color rgb="FF404040"/>
        <rFont val="Arial"/>
        <family val="0"/>
        <charset val="1"/>
      </rPr>
      <t xml:space="preserve">AC220V CPU(TM241C24R/C40R, Relay 6/12 + Tr 4)</t>
    </r>
    <r>
      <rPr>
        <sz val="9"/>
        <color rgb="FF404040"/>
        <rFont val="WenQuanYi Zen Hei"/>
        <family val="2"/>
      </rPr>
      <t xml:space="preserve">로</t>
    </r>
    <r>
      <rPr>
        <sz val="9"/>
        <color rgb="FF404040"/>
        <rFont val="Arial"/>
        <family val="0"/>
        <charset val="1"/>
      </rPr>
      <t xml:space="preserve">. MCC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Arial"/>
        <family val="0"/>
        <charset val="1"/>
      </rPr>
      <t xml:space="preserve">DC24V </t>
    </r>
    <r>
      <rPr>
        <sz val="9"/>
        <color rgb="FF404040"/>
        <rFont val="WenQuanYi Zen Hei"/>
        <family val="2"/>
      </rPr>
      <t xml:space="preserve">필수라 안</t>
    </r>
    <r>
      <rPr>
        <sz val="9"/>
        <color rgb="FF404040"/>
        <rFont val="Arial"/>
        <family val="0"/>
        <charset val="1"/>
      </rPr>
      <t xml:space="preserve">A</t>
    </r>
    <r>
      <rPr>
        <sz val="9"/>
        <color rgb="FF404040"/>
        <rFont val="WenQuanYi Zen Hei"/>
        <family val="2"/>
      </rPr>
      <t xml:space="preserve">와 동일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</si>
  <si>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• MCC</t>
    </r>
    <r>
      <rPr>
        <sz val="9"/>
        <color rgb="FF404040"/>
        <rFont val="WenQuanYi Zen Hei"/>
        <family val="2"/>
      </rPr>
      <t xml:space="preserve">는 </t>
    </r>
    <r>
      <rPr>
        <sz val="9"/>
        <color rgb="FF404040"/>
        <rFont val="Arial"/>
        <family val="0"/>
        <charset val="1"/>
      </rPr>
      <t xml:space="preserve">TM3 </t>
    </r>
    <r>
      <rPr>
        <sz val="9"/>
        <color rgb="FF404040"/>
        <rFont val="WenQuanYi Zen Hei"/>
        <family val="2"/>
      </rPr>
      <t xml:space="preserve">모듈 </t>
    </r>
    <r>
      <rPr>
        <sz val="9"/>
        <color rgb="FF404040"/>
        <rFont val="Arial"/>
        <family val="0"/>
        <charset val="1"/>
      </rPr>
      <t xml:space="preserve">11</t>
    </r>
    <r>
      <rPr>
        <sz val="9"/>
        <color rgb="FF404040"/>
        <rFont val="WenQuanYi Zen Hei"/>
        <family val="2"/>
      </rPr>
      <t xml:space="preserve">개로 로컬 한도 </t>
    </r>
    <r>
      <rPr>
        <sz val="9"/>
        <color rgb="FF404040"/>
        <rFont val="Arial"/>
        <family val="0"/>
        <charset val="1"/>
      </rPr>
      <t xml:space="preserve">7</t>
    </r>
    <r>
      <rPr>
        <sz val="9"/>
        <color rgb="FF404040"/>
        <rFont val="WenQuanYi Zen Hei"/>
        <family val="2"/>
      </rPr>
      <t xml:space="preserve">개 초과 → </t>
    </r>
    <r>
      <rPr>
        <sz val="9"/>
        <color rgb="FF404040"/>
        <rFont val="Arial"/>
        <family val="0"/>
        <charset val="1"/>
      </rPr>
      <t xml:space="preserve">TM3XTRA1 + TM3XREC1 </t>
    </r>
    <r>
      <rPr>
        <sz val="9"/>
        <color rgb="FF404040"/>
        <rFont val="WenQuanYi Zen Hei"/>
        <family val="2"/>
      </rPr>
      <t xml:space="preserve">버스 확장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가격표 미포함</t>
    </r>
    <r>
      <rPr>
        <sz val="9"/>
        <color rgb="FF404040"/>
        <rFont val="Arial"/>
        <family val="0"/>
        <charset val="1"/>
      </rPr>
      <t xml:space="preserve">) </t>
    </r>
    <r>
      <rPr>
        <sz val="9"/>
        <color rgb="FF404040"/>
        <rFont val="WenQuanYi Zen Hei"/>
        <family val="2"/>
      </rPr>
      <t xml:space="preserve">또는 고밀도 모듈 견적 필요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</si>
  <si>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Arial"/>
        <family val="0"/>
        <charset val="1"/>
      </rPr>
      <t xml:space="preserve">• ANU </t>
    </r>
    <r>
      <rPr>
        <sz val="9"/>
        <color rgb="FF404040"/>
        <rFont val="WenQuanYi Zen Hei"/>
        <family val="2"/>
      </rPr>
      <t xml:space="preserve">요구표엔 </t>
    </r>
    <r>
      <rPr>
        <sz val="9"/>
        <color rgb="FF404040"/>
        <rFont val="Arial"/>
        <family val="0"/>
        <charset val="1"/>
      </rPr>
      <t xml:space="preserve">AO</t>
    </r>
    <r>
      <rPr>
        <sz val="9"/>
        <color rgb="FF404040"/>
        <rFont val="WenQuanYi Zen Hei"/>
        <family val="2"/>
      </rPr>
      <t xml:space="preserve">가 없지만 기존 하드웨어</t>
    </r>
    <r>
      <rPr>
        <sz val="9"/>
        <color rgb="FF404040"/>
        <rFont val="Arial"/>
        <family val="0"/>
        <charset val="1"/>
      </rPr>
      <t xml:space="preserve">(AO561)</t>
    </r>
    <r>
      <rPr>
        <sz val="9"/>
        <color rgb="FF404040"/>
        <rFont val="WenQuanYi Zen Hei"/>
        <family val="2"/>
      </rPr>
      <t xml:space="preserve">를 따라 </t>
    </r>
    <r>
      <rPr>
        <sz val="9"/>
        <color rgb="FF404040"/>
        <rFont val="Arial"/>
        <family val="0"/>
        <charset val="1"/>
      </rPr>
      <t xml:space="preserve">TM3AQ2 </t>
    </r>
    <r>
      <rPr>
        <sz val="9"/>
        <color rgb="FF404040"/>
        <rFont val="WenQuanYi Zen Hei"/>
        <family val="2"/>
      </rPr>
      <t xml:space="preserve">반영 — 미사용이면 각 안에서 </t>
    </r>
    <r>
      <rPr>
        <sz val="9"/>
        <color rgb="FF404040"/>
        <rFont val="Arial"/>
        <family val="0"/>
        <charset val="1"/>
      </rPr>
      <t xml:space="preserve">138,400 </t>
    </r>
    <r>
      <rPr>
        <sz val="9"/>
        <color rgb="FF404040"/>
        <rFont val="WenQuanYi Zen Hei"/>
        <family val="2"/>
      </rPr>
      <t xml:space="preserve">차감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</si>
  <si>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• 연간 구매수량</t>
    </r>
    <r>
      <rPr>
        <sz val="9"/>
        <color rgb="FF404040"/>
        <rFont val="Arial"/>
        <family val="0"/>
        <charset val="1"/>
      </rPr>
      <t xml:space="preserve">(</t>
    </r>
    <r>
      <rPr>
        <sz val="9"/>
        <color rgb="FF404040"/>
        <rFont val="WenQuanYi Zen Hei"/>
        <family val="2"/>
      </rPr>
      <t xml:space="preserve">파란 글씨</t>
    </r>
    <r>
      <rPr>
        <sz val="9"/>
        <color rgb="FF404040"/>
        <rFont val="Arial"/>
        <family val="0"/>
        <charset val="1"/>
      </rPr>
      <t xml:space="preserve">)</t>
    </r>
    <r>
      <rPr>
        <sz val="9"/>
        <color rgb="FF404040"/>
        <rFont val="WenQuanYi Zen Hei"/>
        <family val="2"/>
      </rPr>
      <t xml:space="preserve">은 </t>
    </r>
    <r>
      <rPr>
        <sz val="9"/>
        <color rgb="FF404040"/>
        <rFont val="Arial"/>
        <family val="0"/>
        <charset val="1"/>
      </rPr>
      <t xml:space="preserve">RFQ </t>
    </r>
    <r>
      <rPr>
        <sz val="9"/>
        <color rgb="FF404040"/>
        <rFont val="WenQuanYi Zen Hei"/>
        <family val="2"/>
      </rPr>
      <t xml:space="preserve">값</t>
    </r>
    <r>
      <rPr>
        <sz val="9"/>
        <color rgb="FF404040"/>
        <rFont val="Arial"/>
        <family val="0"/>
        <charset val="1"/>
      </rPr>
      <t xml:space="preserve">: TSU 200 / ANU 300 / ANU-S 50 / MCC 100 EA. </t>
    </r>
    <r>
      <rPr>
        <sz val="9"/>
        <color rgb="FF404040"/>
        <rFont val="WenQuanYi Zen Hei"/>
        <family val="2"/>
      </rPr>
      <t xml:space="preserve">수량을 바꾸면 연간 금액과 </t>
    </r>
    <r>
      <rPr>
        <sz val="9"/>
        <color rgb="FF404040"/>
        <rFont val="Arial"/>
        <family val="0"/>
        <charset val="1"/>
      </rPr>
      <t xml:space="preserve">'</t>
    </r>
    <r>
      <rPr>
        <sz val="9"/>
        <color rgb="FF404040"/>
        <rFont val="WenQuanYi Zen Hei"/>
        <family val="2"/>
      </rPr>
      <t xml:space="preserve">연간 </t>
    </r>
    <r>
      <rPr>
        <sz val="9"/>
        <color rgb="FF404040"/>
        <rFont val="Arial"/>
        <family val="0"/>
        <charset val="1"/>
      </rPr>
      <t xml:space="preserve">BOM'</t>
    </r>
    <r>
      <rPr>
        <sz val="9"/>
        <color rgb="FF404040"/>
        <rFont val="WenQuanYi Zen Hei"/>
        <family val="2"/>
      </rPr>
      <t xml:space="preserve">이 함께 재계산됨</t>
    </r>
    <r>
      <rPr>
        <sz val="9"/>
        <color rgb="FF404040"/>
        <rFont val="Arial"/>
        <family val="0"/>
        <charset val="1"/>
      </rPr>
      <t xml:space="preserve">.</t>
    </r>
  </si>
  <si>
    <r>
      <rPr>
        <sz val="9"/>
        <color rgb="FF404040"/>
        <rFont val="WenQuanYi Zen Hei"/>
        <family val="2"/>
      </rPr>
      <t xml:space="preserve">• 파란 글씨 </t>
    </r>
    <r>
      <rPr>
        <sz val="9"/>
        <color rgb="FF404040"/>
        <rFont val="Arial"/>
        <family val="0"/>
        <charset val="1"/>
      </rPr>
      <t xml:space="preserve">= </t>
    </r>
    <r>
      <rPr>
        <sz val="9"/>
        <color rgb="FF404040"/>
        <rFont val="WenQuanYi Zen Hei"/>
        <family val="2"/>
      </rPr>
      <t xml:space="preserve">입력값</t>
    </r>
    <r>
      <rPr>
        <sz val="9"/>
        <color rgb="FF404040"/>
        <rFont val="Arial"/>
        <family val="0"/>
        <charset val="1"/>
      </rPr>
      <t xml:space="preserve">, </t>
    </r>
    <r>
      <rPr>
        <sz val="9"/>
        <color rgb="FF404040"/>
        <rFont val="WenQuanYi Zen Hei"/>
        <family val="2"/>
      </rPr>
      <t xml:space="preserve">초록 </t>
    </r>
    <r>
      <rPr>
        <sz val="9"/>
        <color rgb="FF404040"/>
        <rFont val="Arial"/>
        <family val="0"/>
        <charset val="1"/>
      </rPr>
      <t xml:space="preserve">= </t>
    </r>
    <r>
      <rPr>
        <sz val="9"/>
        <color rgb="FF404040"/>
        <rFont val="WenQuanYi Zen Hei"/>
        <family val="2"/>
      </rPr>
      <t xml:space="preserve">다른 시트 참조</t>
    </r>
    <r>
      <rPr>
        <sz val="9"/>
        <color rgb="FF404040"/>
        <rFont val="Arial"/>
        <family val="0"/>
        <charset val="1"/>
      </rPr>
      <t xml:space="preserve">. </t>
    </r>
    <r>
      <rPr>
        <sz val="9"/>
        <color rgb="FF404040"/>
        <rFont val="WenQuanYi Zen Hei"/>
        <family val="2"/>
      </rPr>
      <t xml:space="preserve">단가는 사용자 제공 특가</t>
    </r>
    <r>
      <rPr>
        <sz val="9"/>
        <color rgb="FF404040"/>
        <rFont val="Arial"/>
        <family val="0"/>
        <charset val="1"/>
      </rPr>
      <t xml:space="preserve">(2027</t>
    </r>
    <r>
      <rPr>
        <sz val="9"/>
        <color rgb="FF404040"/>
        <rFont val="WenQuanYi Zen Hei"/>
        <family val="2"/>
      </rPr>
      <t xml:space="preserve">년 기준 여부 확인 필요</t>
    </r>
    <r>
      <rPr>
        <sz val="9"/>
        <color rgb="FF404040"/>
        <rFont val="Arial"/>
        <family val="0"/>
        <charset val="1"/>
      </rPr>
      <t xml:space="preserve">), I/O </t>
    </r>
    <r>
      <rPr>
        <sz val="9"/>
        <color rgb="FF404040"/>
        <rFont val="WenQuanYi Zen Hei"/>
        <family val="2"/>
      </rPr>
      <t xml:space="preserve">사양은 </t>
    </r>
    <r>
      <rPr>
        <sz val="9"/>
        <color rgb="FF404040"/>
        <rFont val="Arial"/>
        <family val="0"/>
        <charset val="1"/>
      </rPr>
      <t xml:space="preserve">Schneider </t>
    </r>
    <r>
      <rPr>
        <sz val="9"/>
        <color rgb="FF404040"/>
        <rFont val="WenQuanYi Zen Hei"/>
        <family val="2"/>
      </rPr>
      <t xml:space="preserve">카탈로그 기준</t>
    </r>
    <r>
      <rPr>
        <sz val="9"/>
        <color rgb="FF404040"/>
        <rFont val="Arial"/>
        <family val="0"/>
        <charset val="1"/>
      </rPr>
      <t xml:space="preserve">.</t>
    </r>
  </si>
  <si>
    <t xml:space="preserve">No.</t>
  </si>
  <si>
    <t xml:space="preserve">Activity</t>
  </si>
  <si>
    <t xml:space="preserve">Material</t>
  </si>
  <si>
    <t xml:space="preserve">DC/AC</t>
  </si>
  <si>
    <t xml:space="preserve">Q'ty</t>
  </si>
  <si>
    <t xml:space="preserve">Unit List Price</t>
  </si>
  <si>
    <t xml:space="preserve">&lt;Funding&gt; Special DF</t>
  </si>
  <si>
    <r>
      <rPr>
        <b val="true"/>
        <sz val="10"/>
        <color rgb="FFFFFFFF"/>
        <rFont val="Arial"/>
        <family val="0"/>
        <charset val="1"/>
      </rPr>
      <t xml:space="preserve">I/O Spec (</t>
    </r>
    <r>
      <rPr>
        <b val="true"/>
        <sz val="10"/>
        <color rgb="FFFFFFFF"/>
        <rFont val="WenQuanYi Zen Hei"/>
        <family val="2"/>
      </rPr>
      <t xml:space="preserve">매칭용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</si>
  <si>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Unit Price</t>
  </si>
  <si>
    <t xml:space="preserve">Total Amount</t>
  </si>
  <si>
    <t xml:space="preserve">Special Discount Factor</t>
  </si>
  <si>
    <t xml:space="preserve">DI</t>
  </si>
  <si>
    <t xml:space="preserve">DO (Tr)</t>
  </si>
  <si>
    <t xml:space="preserve">DO (Relay)</t>
  </si>
  <si>
    <t xml:space="preserve">AI</t>
  </si>
  <si>
    <t xml:space="preserve">AO</t>
  </si>
  <si>
    <t xml:space="preserve">Serial</t>
  </si>
  <si>
    <t xml:space="preserve">Ethernet</t>
  </si>
  <si>
    <t xml:space="preserve">비고</t>
  </si>
  <si>
    <t xml:space="preserve">IDMST</t>
  </si>
  <si>
    <t xml:space="preserve">TM241CE24T</t>
  </si>
  <si>
    <t xml:space="preserve">DC</t>
  </si>
  <si>
    <t xml:space="preserve">CPU, Ethernet, 24VDC</t>
  </si>
  <si>
    <t xml:space="preserve">TM241C24T</t>
  </si>
  <si>
    <t xml:space="preserve">CPU, 24VDC</t>
  </si>
  <si>
    <t xml:space="preserve">TM241C24R</t>
  </si>
  <si>
    <t xml:space="preserve">AC</t>
  </si>
  <si>
    <t xml:space="preserve">CPU, 100-240VAC</t>
  </si>
  <si>
    <t xml:space="preserve">TM241C40T</t>
  </si>
  <si>
    <t xml:space="preserve">TM241C40R</t>
  </si>
  <si>
    <t xml:space="preserve">TM3DI16</t>
  </si>
  <si>
    <t xml:space="preserve">DI 16</t>
  </si>
  <si>
    <t xml:space="preserve">TM3DI8</t>
  </si>
  <si>
    <t xml:space="preserve">DI 8</t>
  </si>
  <si>
    <t xml:space="preserve">TM3DQ16R</t>
  </si>
  <si>
    <t xml:space="preserve">DO 16 Relay</t>
  </si>
  <si>
    <t xml:space="preserve">TM3DQ16T</t>
  </si>
  <si>
    <t xml:space="preserve">DO 16 Tr (Source)</t>
  </si>
  <si>
    <t xml:space="preserve">TM3DQ16U</t>
  </si>
  <si>
    <t xml:space="preserve">DO 16 Tr (Sink)</t>
  </si>
  <si>
    <t xml:space="preserve">TM3DQ8R</t>
  </si>
  <si>
    <t xml:space="preserve">DO 8 Relay</t>
  </si>
  <si>
    <t xml:space="preserve">TM3DQ8T</t>
  </si>
  <si>
    <t xml:space="preserve">DO 8 Tr (Source)</t>
  </si>
  <si>
    <t xml:space="preserve">TM3DQ8U</t>
  </si>
  <si>
    <t xml:space="preserve">DO 8 Tr (Sink)</t>
  </si>
  <si>
    <t xml:space="preserve">TM3AI2H</t>
  </si>
  <si>
    <t xml:space="preserve">AI 2 (16bit)</t>
  </si>
  <si>
    <t xml:space="preserve">TM3AI4</t>
  </si>
  <si>
    <t xml:space="preserve">AI 4</t>
  </si>
  <si>
    <t xml:space="preserve">TM3AI8</t>
  </si>
  <si>
    <t xml:space="preserve">AI 8</t>
  </si>
  <si>
    <t xml:space="preserve">TM3AQ2</t>
  </si>
  <si>
    <t xml:space="preserve">AO 2</t>
  </si>
  <si>
    <t xml:space="preserve">TM3AQ4</t>
  </si>
  <si>
    <t xml:space="preserve">AO 4</t>
  </si>
  <si>
    <t xml:space="preserve">Total</t>
  </si>
  <si>
    <r>
      <rPr>
        <i val="true"/>
        <sz val="9"/>
        <color rgb="FF595959"/>
        <rFont val="Arial"/>
        <family val="0"/>
        <charset val="1"/>
      </rPr>
      <t xml:space="preserve">Notes: </t>
    </r>
    <r>
      <rPr>
        <i val="true"/>
        <sz val="9"/>
        <color rgb="FF595959"/>
        <rFont val="WenQuanYi Zen Hei"/>
        <family val="2"/>
      </rPr>
      <t xml:space="preserve">파란 글씨 </t>
    </r>
    <r>
      <rPr>
        <i val="true"/>
        <sz val="9"/>
        <color rgb="FF595959"/>
        <rFont val="Arial"/>
        <family val="0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입력값</t>
    </r>
    <r>
      <rPr>
        <i val="true"/>
        <sz val="9"/>
        <color rgb="FF595959"/>
        <rFont val="Arial"/>
        <family val="0"/>
        <charset val="1"/>
      </rPr>
      <t xml:space="preserve">. A~J</t>
    </r>
    <r>
      <rPr>
        <i val="true"/>
        <sz val="9"/>
        <color rgb="FF595959"/>
        <rFont val="WenQuanYi Zen Hei"/>
        <family val="2"/>
      </rPr>
      <t xml:space="preserve">열 가격은 사용자 제공 견적 그대로 </t>
    </r>
    <r>
      <rPr>
        <i val="true"/>
        <sz val="9"/>
        <color rgb="FF595959"/>
        <rFont val="Arial"/>
        <family val="0"/>
        <charset val="1"/>
      </rPr>
      <t xml:space="preserve">(18</t>
    </r>
    <r>
      <rPr>
        <i val="true"/>
        <sz val="9"/>
        <color rgb="FF595959"/>
        <rFont val="WenQuanYi Zen Hei"/>
        <family val="2"/>
      </rPr>
      <t xml:space="preserve">번 </t>
    </r>
    <r>
      <rPr>
        <i val="true"/>
        <sz val="9"/>
        <color rgb="FF595959"/>
        <rFont val="Arial"/>
        <family val="0"/>
        <charset val="1"/>
      </rPr>
      <t xml:space="preserve">Total</t>
    </r>
    <r>
      <rPr>
        <i val="true"/>
        <sz val="9"/>
        <color rgb="FF595959"/>
        <rFont val="WenQuanYi Zen Hei"/>
        <family val="2"/>
      </rPr>
      <t xml:space="preserve">은 원본에서 </t>
    </r>
    <r>
      <rPr>
        <i val="true"/>
        <sz val="9"/>
        <color rgb="FF595959"/>
        <rFont val="Arial"/>
        <family val="0"/>
        <charset val="1"/>
      </rPr>
      <t xml:space="preserve">'140,40'</t>
    </r>
    <r>
      <rPr>
        <i val="true"/>
        <sz val="9"/>
        <color rgb="FF595959"/>
        <rFont val="WenQuanYi Zen Hei"/>
        <family val="2"/>
      </rPr>
      <t xml:space="preserve">으로 잘려 수식으로 </t>
    </r>
    <r>
      <rPr>
        <i val="true"/>
        <sz val="9"/>
        <color rgb="FF595959"/>
        <rFont val="Arial"/>
        <family val="0"/>
        <charset val="1"/>
      </rPr>
      <t xml:space="preserve">140,400 </t>
    </r>
    <r>
      <rPr>
        <i val="true"/>
        <sz val="9"/>
        <color rgb="FF595959"/>
        <rFont val="WenQuanYi Zen Hei"/>
        <family val="2"/>
      </rPr>
      <t xml:space="preserve">계산</t>
    </r>
    <r>
      <rPr>
        <i val="true"/>
        <sz val="9"/>
        <color rgb="FF595959"/>
        <rFont val="Arial"/>
        <family val="0"/>
        <charset val="1"/>
      </rPr>
      <t xml:space="preserve">). K~Q</t>
    </r>
    <r>
      <rPr>
        <i val="true"/>
        <sz val="9"/>
        <color rgb="FF595959"/>
        <rFont val="WenQuanYi Zen Hei"/>
        <family val="2"/>
      </rPr>
      <t xml:space="preserve">열 </t>
    </r>
    <r>
      <rPr>
        <i val="true"/>
        <sz val="9"/>
        <color rgb="FF595959"/>
        <rFont val="Arial"/>
        <family val="0"/>
        <charset val="1"/>
      </rPr>
      <t xml:space="preserve">I/O </t>
    </r>
    <r>
      <rPr>
        <i val="true"/>
        <sz val="9"/>
        <color rgb="FF595959"/>
        <rFont val="WenQuanYi Zen Hei"/>
        <family val="2"/>
      </rPr>
      <t xml:space="preserve">사양은 </t>
    </r>
    <r>
      <rPr>
        <i val="true"/>
        <sz val="9"/>
        <color rgb="FF595959"/>
        <rFont val="Arial"/>
        <family val="0"/>
        <charset val="1"/>
      </rPr>
      <t xml:space="preserve">Schneider Modicon M241/TM3 </t>
    </r>
    <r>
      <rPr>
        <i val="true"/>
        <sz val="9"/>
        <color rgb="FF595959"/>
        <rFont val="WenQuanYi Zen Hei"/>
        <family val="2"/>
      </rPr>
      <t xml:space="preserve">카탈로그 기준으로 </t>
    </r>
    <r>
      <rPr>
        <i val="true"/>
        <sz val="9"/>
        <color rgb="FF595959"/>
        <rFont val="Arial"/>
        <family val="0"/>
        <charset val="1"/>
      </rPr>
      <t xml:space="preserve">Claude</t>
    </r>
    <r>
      <rPr>
        <i val="true"/>
        <sz val="9"/>
        <color rgb="FF595959"/>
        <rFont val="WenQuanYi Zen Hei"/>
        <family val="2"/>
      </rPr>
      <t xml:space="preserve">가 입력한 값 — 발주 전 최신 카탈로그로 확인 필요</t>
    </r>
    <r>
      <rPr>
        <i val="true"/>
        <sz val="9"/>
        <color rgb="FF595959"/>
        <rFont val="Arial"/>
        <family val="0"/>
        <charset val="1"/>
      </rPr>
      <t xml:space="preserve">. TM241C24R/C40R</t>
    </r>
    <r>
      <rPr>
        <i val="true"/>
        <sz val="9"/>
        <color rgb="FF595959"/>
        <rFont val="WenQuanYi Zen Hei"/>
        <family val="2"/>
      </rPr>
      <t xml:space="preserve">의 출력은 </t>
    </r>
    <r>
      <rPr>
        <i val="true"/>
        <sz val="9"/>
        <color rgb="FF595959"/>
        <rFont val="Arial"/>
        <family val="0"/>
        <charset val="1"/>
      </rPr>
      <t xml:space="preserve">Relay + </t>
    </r>
    <r>
      <rPr>
        <i val="true"/>
        <sz val="9"/>
        <color rgb="FF595959"/>
        <rFont val="WenQuanYi Zen Hei"/>
        <family val="2"/>
      </rPr>
      <t xml:space="preserve">고속 </t>
    </r>
    <r>
      <rPr>
        <i val="true"/>
        <sz val="9"/>
        <color rgb="FF595959"/>
        <rFont val="Arial"/>
        <family val="0"/>
        <charset val="1"/>
      </rPr>
      <t xml:space="preserve">Tr 4</t>
    </r>
    <r>
      <rPr>
        <i val="true"/>
        <sz val="9"/>
        <color rgb="FF595959"/>
        <rFont val="WenQuanYi Zen Hei"/>
        <family val="2"/>
      </rPr>
      <t xml:space="preserve">점 혼합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</si>
  <si>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3"/>
        <rFont val="WenQuanYi Zen Hei"/>
        <family val="2"/>
      </rPr>
      <t xml:space="preserve">기준사양 매칭 — 기존 </t>
    </r>
    <r>
      <rPr>
        <b val="true"/>
        <sz val="13"/>
        <rFont val="Arial"/>
        <family val="0"/>
        <charset val="1"/>
      </rPr>
      <t xml:space="preserve">ABB AC500-eCo → Schneider M241/TM3 (</t>
    </r>
    <r>
      <rPr>
        <b val="true"/>
        <sz val="13"/>
        <rFont val="WenQuanYi Zen Hei"/>
        <family val="2"/>
      </rPr>
      <t xml:space="preserve">특가 기준</t>
    </r>
    <r>
      <rPr>
        <b val="true"/>
        <sz val="13"/>
        <rFont val="Arial"/>
        <family val="0"/>
        <charset val="1"/>
      </rPr>
      <t xml:space="preserve">, 1 set</t>
    </r>
    <r>
      <rPr>
        <b val="true"/>
        <sz val="13"/>
        <rFont val="WenQuanYi Zen Hei"/>
        <family val="2"/>
      </rPr>
      <t xml:space="preserve">당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</si>
  <si>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단가는 </t>
    </r>
    <r>
      <rPr>
        <i val="true"/>
        <sz val="9"/>
        <color rgb="FF595959"/>
        <rFont val="Arial"/>
        <family val="0"/>
        <charset val="1"/>
      </rPr>
      <t xml:space="preserve">'Price List' </t>
    </r>
    <r>
      <rPr>
        <i val="true"/>
        <sz val="9"/>
        <color rgb="FF595959"/>
        <rFont val="WenQuanYi Zen Hei"/>
        <family val="2"/>
      </rPr>
      <t xml:space="preserve">시트 특가</t>
    </r>
    <r>
      <rPr>
        <i val="true"/>
        <sz val="9"/>
        <color rgb="FF595959"/>
        <rFont val="Arial"/>
        <family val="0"/>
        <charset val="1"/>
      </rPr>
      <t xml:space="preserve">(Unit Price, Special DF </t>
    </r>
    <r>
      <rPr>
        <i val="true"/>
        <sz val="9"/>
        <color rgb="FF595959"/>
        <rFont val="WenQuanYi Zen Hei"/>
        <family val="2"/>
      </rPr>
      <t xml:space="preserve">적용</t>
    </r>
    <r>
      <rPr>
        <i val="true"/>
        <sz val="9"/>
        <color rgb="FF595959"/>
        <rFont val="Arial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를 </t>
    </r>
    <r>
      <rPr>
        <i val="true"/>
        <sz val="9"/>
        <color rgb="FF595959"/>
        <rFont val="Arial"/>
        <family val="0"/>
        <charset val="1"/>
      </rPr>
      <t xml:space="preserve">INDEX/MATCH</t>
    </r>
    <r>
      <rPr>
        <i val="true"/>
        <sz val="9"/>
        <color rgb="FF595959"/>
        <rFont val="WenQuanYi Zen Hei"/>
        <family val="2"/>
      </rPr>
      <t xml:space="preserve">로 참조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요구 점수 </t>
    </r>
    <r>
      <rPr>
        <i val="true"/>
        <sz val="9"/>
        <color rgb="FF595959"/>
        <rFont val="Arial"/>
        <family val="0"/>
        <charset val="1"/>
      </rPr>
      <t xml:space="preserve">= RFQ(PLC </t>
    </r>
    <r>
      <rPr>
        <i val="true"/>
        <sz val="9"/>
        <color rgb="FF595959"/>
        <rFont val="WenQuanYi Zen Hei"/>
        <family val="2"/>
      </rPr>
      <t xml:space="preserve">사양서 </t>
    </r>
    <r>
      <rPr>
        <i val="true"/>
        <sz val="9"/>
        <color rgb="FF595959"/>
        <rFont val="Arial"/>
        <family val="0"/>
        <charset val="1"/>
      </rPr>
      <t xml:space="preserve">R3.1) </t>
    </r>
    <r>
      <rPr>
        <i val="true"/>
        <sz val="9"/>
        <color rgb="FF595959"/>
        <rFont val="WenQuanYi Zen Hei"/>
        <family val="2"/>
      </rPr>
      <t xml:space="preserve">필수 점수 </t>
    </r>
    <r>
      <rPr>
        <i val="true"/>
        <sz val="9"/>
        <color rgb="FF595959"/>
        <rFont val="Arial"/>
        <family val="0"/>
        <charset val="1"/>
      </rPr>
      <t xml:space="preserve">+10% Spare(</t>
    </r>
    <r>
      <rPr>
        <i val="true"/>
        <sz val="9"/>
        <color rgb="FF595959"/>
        <rFont val="WenQuanYi Zen Hei"/>
        <family val="2"/>
      </rPr>
      <t xml:space="preserve">올림</t>
    </r>
    <r>
      <rPr>
        <i val="true"/>
        <sz val="9"/>
        <color rgb="FF595959"/>
        <rFont val="Arial"/>
        <family val="0"/>
        <charset val="1"/>
      </rPr>
      <t xml:space="preserve">). MCC</t>
    </r>
    <r>
      <rPr>
        <i val="true"/>
        <sz val="9"/>
        <color rgb="FF595959"/>
        <rFont val="WenQuanYi Zen Hei"/>
        <family val="2"/>
      </rPr>
      <t xml:space="preserve">는 현행 유지 점수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판정</t>
    </r>
    <r>
      <rPr>
        <i val="true"/>
        <sz val="9"/>
        <color rgb="FF595959"/>
        <rFont val="Arial"/>
        <family val="0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점수 충족 </t>
    </r>
    <r>
      <rPr>
        <i val="true"/>
        <sz val="9"/>
        <color rgb="FF595959"/>
        <rFont val="Arial"/>
        <family val="0"/>
        <charset val="1"/>
      </rPr>
      <t xml:space="preserve">+ </t>
    </r>
    <r>
      <rPr>
        <i val="true"/>
        <sz val="9"/>
        <color rgb="FF595959"/>
        <rFont val="WenQuanYi Zen Hei"/>
        <family val="2"/>
      </rPr>
      <t xml:space="preserve">안</t>
    </r>
    <r>
      <rPr>
        <i val="true"/>
        <sz val="9"/>
        <color rgb="FF595959"/>
        <rFont val="Arial"/>
        <family val="0"/>
        <charset val="1"/>
      </rPr>
      <t xml:space="preserve">A </t>
    </r>
    <r>
      <rPr>
        <i val="true"/>
        <sz val="9"/>
        <color rgb="FF595959"/>
        <rFont val="WenQuanYi Zen Hei"/>
        <family val="2"/>
      </rPr>
      <t xml:space="preserve">및 </t>
    </r>
    <r>
      <rPr>
        <i val="true"/>
        <sz val="9"/>
        <color rgb="FF595959"/>
        <rFont val="Arial"/>
        <family val="0"/>
        <charset val="1"/>
      </rPr>
      <t xml:space="preserve">MCC(RFQ: Relay Type Only)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Arial"/>
        <family val="0"/>
        <charset val="1"/>
      </rPr>
      <t xml:space="preserve">Relay </t>
    </r>
    <r>
      <rPr>
        <i val="true"/>
        <sz val="9"/>
        <color rgb="FF595959"/>
        <rFont val="WenQuanYi Zen Hei"/>
        <family val="2"/>
      </rPr>
      <t xml:space="preserve">출력 점수가 </t>
    </r>
    <r>
      <rPr>
        <i val="true"/>
        <sz val="9"/>
        <color rgb="FF595959"/>
        <rFont val="Arial"/>
        <family val="0"/>
        <charset val="1"/>
      </rPr>
      <t xml:space="preserve">DO </t>
    </r>
    <r>
      <rPr>
        <i val="true"/>
        <sz val="9"/>
        <color rgb="FF595959"/>
        <rFont val="WenQuanYi Zen Hei"/>
        <family val="2"/>
      </rPr>
      <t xml:space="preserve">요구 이상인지 확인</t>
    </r>
    <r>
      <rPr>
        <i val="true"/>
        <sz val="9"/>
        <color rgb="FF595959"/>
        <rFont val="Arial"/>
        <family val="0"/>
        <charset val="1"/>
      </rPr>
      <t xml:space="preserve">. M241 </t>
    </r>
    <r>
      <rPr>
        <i val="true"/>
        <sz val="9"/>
        <color rgb="FF595959"/>
        <rFont val="WenQuanYi Zen Hei"/>
        <family val="2"/>
      </rPr>
      <t xml:space="preserve">로컬 확장은 </t>
    </r>
    <r>
      <rPr>
        <i val="true"/>
        <sz val="9"/>
        <color rgb="FF595959"/>
        <rFont val="Arial"/>
        <family val="0"/>
        <charset val="1"/>
      </rPr>
      <t xml:space="preserve">TM3 </t>
    </r>
    <r>
      <rPr>
        <i val="true"/>
        <sz val="9"/>
        <color rgb="FF595959"/>
        <rFont val="WenQuanYi Zen Hei"/>
        <family val="2"/>
      </rPr>
      <t xml:space="preserve">모듈 </t>
    </r>
    <r>
      <rPr>
        <i val="true"/>
        <sz val="9"/>
        <color rgb="FF595959"/>
        <rFont val="Arial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개까지 — 초과 시 </t>
    </r>
    <r>
      <rPr>
        <i val="true"/>
        <sz val="9"/>
        <color rgb="FF595959"/>
        <rFont val="Arial"/>
        <family val="0"/>
        <charset val="1"/>
      </rPr>
      <t xml:space="preserve">TM3XTRA1/TM3XREC1 </t>
    </r>
    <r>
      <rPr>
        <i val="true"/>
        <sz val="9"/>
        <color rgb="FF595959"/>
        <rFont val="WenQuanYi Zen Hei"/>
        <family val="2"/>
      </rPr>
      <t xml:space="preserve">버스 확장 필요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가격표 미포함</t>
    </r>
    <r>
      <rPr>
        <i val="true"/>
        <sz val="9"/>
        <color rgb="FF595959"/>
        <rFont val="Arial"/>
        <family val="0"/>
        <charset val="1"/>
      </rPr>
      <t xml:space="preserve">).</t>
    </r>
  </si>
  <si>
    <t xml:space="preserve">구성안</t>
  </si>
  <si>
    <r>
      <rPr>
        <b val="true"/>
        <sz val="10"/>
        <color rgb="FFFFFFFF"/>
        <rFont val="WenQuanYi Zen Hei"/>
        <family val="2"/>
      </rPr>
      <t xml:space="preserve">설명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대체 기존품</t>
    </r>
  </si>
  <si>
    <t xml:space="preserve">특가 단가</t>
  </si>
  <si>
    <t xml:space="preserve">금액</t>
  </si>
  <si>
    <r>
      <rPr>
        <b val="true"/>
        <sz val="10"/>
        <color rgb="FFFFFFFF"/>
        <rFont val="Arial"/>
        <family val="0"/>
        <charset val="1"/>
      </rPr>
      <t xml:space="preserve">DO </t>
    </r>
    <r>
      <rPr>
        <b val="true"/>
        <sz val="10"/>
        <color rgb="FFFFFFFF"/>
        <rFont val="WenQuanYi Zen Hei"/>
        <family val="2"/>
      </rPr>
      <t xml:space="preserve">합계</t>
    </r>
  </si>
  <si>
    <r>
      <rPr>
        <b val="true"/>
        <sz val="10"/>
        <color rgb="FFFFFFFF"/>
        <rFont val="Arial"/>
        <family val="0"/>
        <charset val="1"/>
      </rPr>
      <t xml:space="preserve">TM3 </t>
    </r>
    <r>
      <rPr>
        <b val="true"/>
        <sz val="10"/>
        <color rgb="FFFFFFFF"/>
        <rFont val="WenQuanYi Zen Hei"/>
        <family val="2"/>
      </rPr>
      <t xml:space="preserve">모듈수</t>
    </r>
  </si>
  <si>
    <t xml:space="preserve">판정</t>
  </si>
  <si>
    <r>
      <rPr>
        <b val="true"/>
        <sz val="10"/>
        <color rgb="FFFFFFFF"/>
        <rFont val="WenQuanYi Zen Hei"/>
        <family val="2"/>
      </rPr>
      <t xml:space="preserve">연간 수량
</t>
    </r>
    <r>
      <rPr>
        <b val="true"/>
        <sz val="10"/>
        <color rgb="FFFFFFFF"/>
        <rFont val="Arial"/>
        <family val="0"/>
        <charset val="1"/>
      </rPr>
      <t xml:space="preserve">(EA)</t>
    </r>
  </si>
  <si>
    <r>
      <rPr>
        <b val="true"/>
        <sz val="11"/>
        <color rgb="FF1F3864"/>
        <rFont val="Arial"/>
        <family val="0"/>
        <charset val="1"/>
      </rPr>
      <t xml:space="preserve">TSU  |  </t>
    </r>
    <r>
      <rPr>
        <b val="true"/>
        <sz val="11"/>
        <color rgb="FF1F3864"/>
        <rFont val="WenQuanYi Zen Hei"/>
        <family val="2"/>
      </rPr>
      <t xml:space="preserve">기존</t>
    </r>
    <r>
      <rPr>
        <b val="true"/>
        <sz val="11"/>
        <color rgb="FF1F3864"/>
        <rFont val="Arial"/>
        <family val="0"/>
        <charset val="1"/>
      </rPr>
      <t xml:space="preserve">: ABB PM554-RP + DO571</t>
    </r>
  </si>
  <si>
    <t xml:space="preserve">요구 사양</t>
  </si>
  <si>
    <t xml:space="preserve">기존 사양표 기준 요구 점수</t>
  </si>
  <si>
    <t xml:space="preserve">A</t>
  </si>
  <si>
    <r>
      <rPr>
        <sz val="10"/>
        <color rgb="FF000000"/>
        <rFont val="Arial"/>
        <family val="0"/>
        <charset val="1"/>
      </rPr>
      <t xml:space="preserve">CPU (PM554-RP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</si>
  <si>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Relay DO8 (DO571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</si>
  <si>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t xml:space="preserve">소계</t>
  </si>
  <si>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Arial"/>
        <family val="0"/>
        <charset val="1"/>
      </rPr>
      <t xml:space="preserve">A: 24VDC + Relay </t>
    </r>
    <r>
      <rPr>
        <b val="true"/>
        <sz val="10"/>
        <rFont val="WenQuanYi Zen Hei"/>
        <family val="2"/>
      </rPr>
      <t xml:space="preserve">출력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기존 </t>
    </r>
    <r>
      <rPr>
        <b val="true"/>
        <sz val="10"/>
        <rFont val="Arial"/>
        <family val="0"/>
        <charset val="1"/>
      </rPr>
      <t xml:space="preserve">ABB</t>
    </r>
    <r>
      <rPr>
        <b val="true"/>
        <sz val="10"/>
        <rFont val="WenQuanYi Zen Hei"/>
        <family val="2"/>
      </rPr>
      <t xml:space="preserve">와 동일 방식</t>
    </r>
    <r>
      <rPr>
        <b val="true"/>
        <sz val="10"/>
        <rFont val="Arial"/>
        <family val="0"/>
        <charset val="1"/>
      </rPr>
      <t xml:space="preserve">)</t>
    </r>
  </si>
  <si>
    <t xml:space="preserve">B</t>
  </si>
  <si>
    <r>
      <rPr>
        <sz val="10"/>
        <color rgb="FF000000"/>
        <rFont val="Arial"/>
        <family val="0"/>
        <charset val="1"/>
      </rPr>
      <t xml:space="preserve">CPU, Tr DO10 (PM554-RP+DO571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</si>
  <si>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Arial"/>
        <family val="0"/>
        <charset val="1"/>
      </rPr>
      <t xml:space="preserve">B: DC24V </t>
    </r>
    <r>
      <rPr>
        <b val="true"/>
        <sz val="10"/>
        <rFont val="WenQuanYi Zen Hei"/>
        <family val="2"/>
      </rPr>
      <t xml:space="preserve">최저가 </t>
    </r>
    <r>
      <rPr>
        <b val="true"/>
        <sz val="10"/>
        <rFont val="Arial"/>
        <family val="0"/>
        <charset val="1"/>
      </rPr>
      <t xml:space="preserve">(TSU/ANU/ANU-S Tr, MCC Relay)</t>
    </r>
  </si>
  <si>
    <t xml:space="preserve">C</t>
  </si>
  <si>
    <r>
      <rPr>
        <sz val="10"/>
        <color rgb="FF000000"/>
        <rFont val="Arial"/>
        <family val="0"/>
        <charset val="1"/>
      </rPr>
      <t xml:space="preserve">CPU, Relay DO6 + Tr4 (PM554-RP+DO571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</si>
  <si>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안</t>
    </r>
    <r>
      <rPr>
        <b val="true"/>
        <sz val="10"/>
        <rFont val="Arial"/>
        <family val="0"/>
        <charset val="1"/>
      </rPr>
      <t xml:space="preserve">C: AC220V CPU + Relay (MCC</t>
    </r>
    <r>
      <rPr>
        <b val="true"/>
        <sz val="10"/>
        <rFont val="WenQuanYi Zen Hei"/>
        <family val="2"/>
      </rPr>
      <t xml:space="preserve">는 </t>
    </r>
    <r>
      <rPr>
        <b val="true"/>
        <sz val="10"/>
        <rFont val="Arial"/>
        <family val="0"/>
        <charset val="1"/>
      </rPr>
      <t xml:space="preserve">DC24V Relay)</t>
    </r>
  </si>
  <si>
    <r>
      <rPr>
        <b val="true"/>
        <sz val="11"/>
        <color rgb="FF1F3864"/>
        <rFont val="Arial"/>
        <family val="0"/>
        <charset val="1"/>
      </rPr>
      <t xml:space="preserve">ANU  |  </t>
    </r>
    <r>
      <rPr>
        <b val="true"/>
        <sz val="11"/>
        <color rgb="FF1F3864"/>
        <rFont val="WenQuanYi Zen Hei"/>
        <family val="2"/>
      </rPr>
      <t xml:space="preserve">기존</t>
    </r>
    <r>
      <rPr>
        <b val="true"/>
        <sz val="11"/>
        <color rgb="FF1F3864"/>
        <rFont val="Arial"/>
        <family val="0"/>
        <charset val="1"/>
      </rPr>
      <t xml:space="preserve">: ABB PM554-RP + DO571 + AO561</t>
    </r>
  </si>
  <si>
    <r>
      <rPr>
        <sz val="10"/>
        <color rgb="FF000000"/>
        <rFont val="Arial"/>
        <family val="0"/>
        <charset val="1"/>
      </rPr>
      <t xml:space="preserve">Relay DO16 (DO571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</si>
  <si>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AO2 (AO561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</si>
  <si>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CPU 24DI/16DO Tr (PM554-RP+DO571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</si>
  <si>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CPU 24DI / Relay12+Tr4 (PM554-RP+DO571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</si>
  <si>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ANU-S  |  </t>
    </r>
    <r>
      <rPr>
        <b val="true"/>
        <sz val="11"/>
        <color rgb="FF1F3864"/>
        <rFont val="WenQuanYi Zen Hei"/>
        <family val="2"/>
      </rPr>
      <t xml:space="preserve">기존</t>
    </r>
    <r>
      <rPr>
        <b val="true"/>
        <sz val="11"/>
        <color rgb="FF1F3864"/>
        <rFont val="Arial"/>
        <family val="0"/>
        <charset val="1"/>
      </rPr>
      <t xml:space="preserve">: ABB PM564-RP</t>
    </r>
  </si>
  <si>
    <r>
      <rPr>
        <sz val="10"/>
        <color rgb="FF000000"/>
        <rFont val="Arial"/>
        <family val="0"/>
        <charset val="1"/>
      </rPr>
      <t xml:space="preserve">CPU (PM564-RP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</si>
  <si>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t xml:space="preserve">Relay DO8</t>
  </si>
  <si>
    <r>
      <rPr>
        <sz val="10"/>
        <color rgb="FF000000"/>
        <rFont val="Arial"/>
        <family val="0"/>
        <charset val="1"/>
      </rPr>
      <t xml:space="preserve">AO (PM564 </t>
    </r>
    <r>
      <rPr>
        <sz val="10"/>
        <color rgb="FF000000"/>
        <rFont val="WenQuanYi Zen Hei"/>
        <family val="2"/>
      </rPr>
      <t xml:space="preserve">내장 </t>
    </r>
    <r>
      <rPr>
        <sz val="10"/>
        <color rgb="FF000000"/>
        <rFont val="Arial"/>
        <family val="0"/>
        <charset val="1"/>
      </rPr>
      <t xml:space="preserve">AO1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</si>
  <si>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CPU, Tr DO10 (PM564-RP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</si>
  <si>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CPU, Relay DO6 + Tr4 (PM564-RP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</si>
  <si>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1F3864"/>
        <rFont val="Arial"/>
        <family val="0"/>
        <charset val="1"/>
      </rPr>
      <t xml:space="preserve">MCC  |  </t>
    </r>
    <r>
      <rPr>
        <b val="true"/>
        <sz val="11"/>
        <color rgb="FF1F3864"/>
        <rFont val="WenQuanYi Zen Hei"/>
        <family val="2"/>
      </rPr>
      <t xml:space="preserve">기존</t>
    </r>
    <r>
      <rPr>
        <b val="true"/>
        <sz val="11"/>
        <color rgb="FF1F3864"/>
        <rFont val="Arial"/>
        <family val="0"/>
        <charset val="1"/>
      </rPr>
      <t xml:space="preserve">: ABB PM564-RP-ETH + DI562×6 + DO573×3 + AO561×2</t>
    </r>
  </si>
  <si>
    <r>
      <rPr>
        <b val="true"/>
        <sz val="10"/>
        <rFont val="WenQuanYi Zen Hei"/>
        <family val="2"/>
      </rPr>
      <t xml:space="preserve">현행 유지</t>
    </r>
    <r>
      <rPr>
        <b val="true"/>
        <sz val="10"/>
        <rFont val="Arial"/>
        <family val="0"/>
        <charset val="1"/>
      </rPr>
      <t xml:space="preserve">: DI 6+16×6, DO 6+16×3, AO 2×2</t>
    </r>
  </si>
  <si>
    <r>
      <rPr>
        <sz val="10"/>
        <color rgb="FF000000"/>
        <rFont val="Arial"/>
        <family val="0"/>
        <charset val="1"/>
      </rPr>
      <t xml:space="preserve">CPU + Ethernet (PM564-RP-ETH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</si>
  <si>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DI16 ×6 (DI562×6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</si>
  <si>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Relay DO16 ×4 (DO573×3 + CPU DO6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</si>
  <si>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AO4 (AO561×2 </t>
    </r>
    <r>
      <rPr>
        <sz val="10"/>
        <color rgb="FF000000"/>
        <rFont val="WenQuanYi Zen Hei"/>
        <family val="2"/>
      </rPr>
      <t xml:space="preserve">대체</t>
    </r>
    <r>
      <rPr>
        <sz val="10"/>
        <color rgb="FF000000"/>
        <rFont val="Arial"/>
        <family val="0"/>
        <charset val="1"/>
      </rPr>
      <t xml:space="preserve">)</t>
    </r>
  </si>
  <si>
    <t xml:space="preserve">Relay DO16 ×4 — MCC Relay Only (RFQ)</t>
  </si>
  <si>
    <r>
      <rPr>
        <sz val="10"/>
        <color rgb="FF000000"/>
        <rFont val="Arial"/>
        <family val="0"/>
        <charset val="1"/>
      </rPr>
      <t xml:space="preserve">CPU + Ethernet — </t>
    </r>
    <r>
      <rPr>
        <sz val="10"/>
        <color rgb="FF000000"/>
        <rFont val="WenQuanYi Zen Hei"/>
        <family val="2"/>
      </rPr>
      <t xml:space="preserve">목록에 </t>
    </r>
    <r>
      <rPr>
        <sz val="10"/>
        <color rgb="FF000000"/>
        <rFont val="Arial"/>
        <family val="0"/>
        <charset val="1"/>
      </rPr>
      <t xml:space="preserve">AC</t>
    </r>
    <r>
      <rPr>
        <sz val="10"/>
        <color rgb="FF000000"/>
        <rFont val="WenQuanYi Zen Hei"/>
        <family val="2"/>
      </rPr>
      <t xml:space="preserve">형 </t>
    </r>
    <r>
      <rPr>
        <sz val="10"/>
        <color rgb="FF000000"/>
        <rFont val="Arial"/>
        <family val="0"/>
        <charset val="1"/>
      </rPr>
      <t xml:space="preserve">Ethernet CPU </t>
    </r>
    <r>
      <rPr>
        <sz val="10"/>
        <color rgb="FF000000"/>
        <rFont val="WenQuanYi Zen Hei"/>
        <family val="2"/>
      </rPr>
      <t xml:space="preserve">없음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WenQuanYi Zen Hei"/>
        <family val="2"/>
      </rPr>
      <t xml:space="preserve">와 동일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</si>
  <si>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3"/>
        <rFont val="WenQuanYi Zen Hei"/>
        <family val="2"/>
      </rPr>
      <t xml:space="preserve">모듈별 연간 소요량 </t>
    </r>
    <r>
      <rPr>
        <b val="true"/>
        <sz val="13"/>
        <rFont val="Arial"/>
        <family val="0"/>
        <charset val="1"/>
      </rPr>
      <t xml:space="preserve">(BOM) — </t>
    </r>
    <r>
      <rPr>
        <b val="true"/>
        <sz val="13"/>
        <rFont val="WenQuanYi Zen Hei"/>
        <family val="2"/>
      </rPr>
      <t xml:space="preserve">구성안별</t>
    </r>
  </si>
  <si>
    <r>
      <rPr>
        <i val="true"/>
        <sz val="9"/>
        <color rgb="FF595959"/>
        <rFont val="WenQuanYi Zen Hei"/>
        <family val="2"/>
      </rPr>
      <t xml:space="preserve">연간 수량 </t>
    </r>
    <r>
      <rPr>
        <i val="true"/>
        <sz val="9"/>
        <color rgb="FF595959"/>
        <rFont val="Arial"/>
        <family val="0"/>
        <charset val="1"/>
      </rPr>
      <t xml:space="preserve">= Σ(</t>
    </r>
    <r>
      <rPr>
        <i val="true"/>
        <sz val="9"/>
        <color rgb="FF595959"/>
        <rFont val="WenQuanYi Zen Hei"/>
        <family val="2"/>
      </rPr>
      <t xml:space="preserve">시스템별 </t>
    </r>
    <r>
      <rPr>
        <i val="true"/>
        <sz val="9"/>
        <color rgb="FF595959"/>
        <rFont val="Arial"/>
        <family val="0"/>
        <charset val="1"/>
      </rPr>
      <t xml:space="preserve">1 set </t>
    </r>
    <r>
      <rPr>
        <i val="true"/>
        <sz val="9"/>
        <color rgb="FF595959"/>
        <rFont val="WenQuanYi Zen Hei"/>
        <family val="2"/>
      </rPr>
      <t xml:space="preserve">수량 </t>
    </r>
    <r>
      <rPr>
        <i val="true"/>
        <sz val="9"/>
        <color rgb="FF595959"/>
        <rFont val="Arial"/>
        <family val="0"/>
        <charset val="1"/>
      </rPr>
      <t xml:space="preserve">× </t>
    </r>
    <r>
      <rPr>
        <i val="true"/>
        <sz val="9"/>
        <color rgb="FF595959"/>
        <rFont val="WenQuanYi Zen Hei"/>
        <family val="2"/>
      </rPr>
      <t xml:space="preserve">시스템 연간 구매수량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수량 기반 추가 할인 협상용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단가는 현재 특가</t>
    </r>
    <r>
      <rPr>
        <i val="true"/>
        <sz val="9"/>
        <color rgb="FF59595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</si>
  <si>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</si>
  <si>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</si>
  <si>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C</t>
    </r>
  </si>
  <si>
    <t xml:space="preserve">연간 수량</t>
  </si>
  <si>
    <t xml:space="preserve">연간 금액</t>
  </si>
  <si>
    <r>
      <rPr>
        <i val="true"/>
        <sz val="9"/>
        <rFont val="WenQuanYi Zen Hei"/>
        <family val="2"/>
      </rPr>
      <t xml:space="preserve">검증</t>
    </r>
    <r>
      <rPr>
        <i val="true"/>
        <sz val="9"/>
        <rFont val="Arial"/>
        <family val="0"/>
        <charset val="1"/>
      </rPr>
      <t xml:space="preserve">: '</t>
    </r>
    <r>
      <rPr>
        <i val="true"/>
        <sz val="9"/>
        <rFont val="WenQuanYi Zen Hei"/>
        <family val="2"/>
      </rPr>
      <t xml:space="preserve">요약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연간 금액과 일치 여부</t>
    </r>
  </si>
  <si>
    <r>
      <rPr>
        <b val="true"/>
        <sz val="13"/>
        <rFont val="Arial"/>
        <family val="0"/>
        <charset val="1"/>
      </rPr>
      <t xml:space="preserve">Schneider </t>
    </r>
    <r>
      <rPr>
        <b val="true"/>
        <sz val="13"/>
        <rFont val="WenQuanYi Zen Hei"/>
        <family val="2"/>
      </rPr>
      <t xml:space="preserve">제안 검토 — </t>
    </r>
    <r>
      <rPr>
        <b val="true"/>
        <sz val="13"/>
        <rFont val="Arial"/>
        <family val="0"/>
        <charset val="1"/>
      </rPr>
      <t xml:space="preserve">RFQ 'PLC </t>
    </r>
    <r>
      <rPr>
        <b val="true"/>
        <sz val="13"/>
        <rFont val="WenQuanYi Zen Hei"/>
        <family val="2"/>
      </rPr>
      <t xml:space="preserve">사양서 </t>
    </r>
    <r>
      <rPr>
        <b val="true"/>
        <sz val="13"/>
        <rFont val="Arial"/>
        <family val="0"/>
        <charset val="1"/>
      </rPr>
      <t xml:space="preserve">R3.1' </t>
    </r>
    <r>
      <rPr>
        <b val="true"/>
        <sz val="13"/>
        <rFont val="WenQuanYi Zen Hei"/>
        <family val="2"/>
      </rPr>
      <t xml:space="preserve">대비</t>
    </r>
  </si>
  <si>
    <r>
      <rPr>
        <i val="true"/>
        <sz val="9"/>
        <color rgb="FF595959"/>
        <rFont val="Arial"/>
        <family val="0"/>
        <charset val="1"/>
      </rPr>
      <t xml:space="preserve">Schneider </t>
    </r>
    <r>
      <rPr>
        <i val="true"/>
        <sz val="9"/>
        <color rgb="FF595959"/>
        <rFont val="WenQuanYi Zen Hei"/>
        <family val="2"/>
      </rPr>
      <t xml:space="preserve">제안 구성</t>
    </r>
    <r>
      <rPr>
        <i val="true"/>
        <sz val="9"/>
        <color rgb="FF595959"/>
        <rFont val="Arial"/>
        <family val="0"/>
        <charset val="1"/>
      </rPr>
      <t xml:space="preserve">(PLC Configuration for Techross R3.1 / Table1)</t>
    </r>
    <r>
      <rPr>
        <i val="true"/>
        <sz val="9"/>
        <color rgb="FF595959"/>
        <rFont val="WenQuanYi Zen Hei"/>
        <family val="2"/>
      </rPr>
      <t xml:space="preserve">을 </t>
    </r>
    <r>
      <rPr>
        <i val="true"/>
        <sz val="9"/>
        <color rgb="FF595959"/>
        <rFont val="Arial"/>
        <family val="0"/>
        <charset val="1"/>
      </rPr>
      <t xml:space="preserve">'Price List' </t>
    </r>
    <r>
      <rPr>
        <i val="true"/>
        <sz val="9"/>
        <color rgb="FF595959"/>
        <rFont val="WenQuanYi Zen Hei"/>
        <family val="2"/>
      </rPr>
      <t xml:space="preserve">특가로 산정하고</t>
    </r>
    <r>
      <rPr>
        <i val="true"/>
        <sz val="9"/>
        <color rgb="FF595959"/>
        <rFont val="Arial"/>
        <family val="0"/>
        <charset val="1"/>
      </rPr>
      <t xml:space="preserve">, RFQ </t>
    </r>
    <r>
      <rPr>
        <i val="true"/>
        <sz val="9"/>
        <color rgb="FF595959"/>
        <rFont val="WenQuanYi Zen Hei"/>
        <family val="2"/>
      </rPr>
      <t xml:space="preserve">요구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필수 점수 </t>
    </r>
    <r>
      <rPr>
        <i val="true"/>
        <sz val="9"/>
        <color rgb="FF595959"/>
        <rFont val="Arial"/>
        <family val="0"/>
        <charset val="1"/>
      </rPr>
      <t xml:space="preserve">+10% Spare, MCC Relay Only)</t>
    </r>
    <r>
      <rPr>
        <i val="true"/>
        <sz val="9"/>
        <color rgb="FF595959"/>
        <rFont val="WenQuanYi Zen Hei"/>
        <family val="2"/>
      </rPr>
      <t xml:space="preserve">와 비교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요구 점수는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기준사양 매칭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연간 수량은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요약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 참조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</si>
  <si>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가격표 미포함 품목</t>
  </si>
  <si>
    <r>
      <rPr>
        <b val="true"/>
        <sz val="10"/>
        <color rgb="FFFFFFFF"/>
        <rFont val="Arial"/>
        <family val="0"/>
        <charset val="1"/>
      </rPr>
      <t xml:space="preserve">List Price (</t>
    </r>
    <r>
      <rPr>
        <b val="true"/>
        <sz val="10"/>
        <color rgb="FFFFFFFF"/>
        <rFont val="WenQuanYi Zen Hei"/>
        <family val="2"/>
      </rPr>
      <t xml:space="preserve">추정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</si>
  <si>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DF</t>
  </si>
  <si>
    <t xml:space="preserve">근거</t>
  </si>
  <si>
    <t xml:space="preserve">TM241CE40T</t>
  </si>
  <si>
    <r>
      <rPr>
        <i val="true"/>
        <sz val="9"/>
        <color rgb="FFC00000"/>
        <rFont val="WenQuanYi Zen Hei"/>
        <family val="2"/>
      </rPr>
      <t xml:space="preserve">추정</t>
    </r>
    <r>
      <rPr>
        <i val="true"/>
        <sz val="9"/>
        <color rgb="FFC00000"/>
        <rFont val="Arial"/>
        <family val="0"/>
        <charset val="1"/>
      </rPr>
      <t xml:space="preserve">: TM241C40T </t>
    </r>
    <r>
      <rPr>
        <i val="true"/>
        <sz val="9"/>
        <color rgb="FFC00000"/>
        <rFont val="WenQuanYi Zen Hei"/>
        <family val="2"/>
      </rPr>
      <t xml:space="preserve">정가 </t>
    </r>
    <r>
      <rPr>
        <i val="true"/>
        <sz val="9"/>
        <color rgb="FFC00000"/>
        <rFont val="Arial"/>
        <family val="0"/>
        <charset val="1"/>
      </rPr>
      <t xml:space="preserve">928,000 + (CE24T−C24T </t>
    </r>
    <r>
      <rPr>
        <i val="true"/>
        <sz val="9"/>
        <color rgb="FFC00000"/>
        <rFont val="WenQuanYi Zen Hei"/>
        <family val="2"/>
      </rPr>
      <t xml:space="preserve">정가차 </t>
    </r>
    <r>
      <rPr>
        <i val="true"/>
        <sz val="9"/>
        <color rgb="FFC00000"/>
        <rFont val="Arial"/>
        <family val="0"/>
        <charset val="1"/>
      </rPr>
      <t xml:space="preserve">13,000), CPU DF 0.45 — </t>
    </r>
    <r>
      <rPr>
        <i val="true"/>
        <sz val="9"/>
        <color rgb="FFC00000"/>
        <rFont val="WenQuanYi Zen Hei"/>
        <family val="2"/>
      </rPr>
      <t xml:space="preserve">실견적 받으면 </t>
    </r>
    <r>
      <rPr>
        <i val="true"/>
        <sz val="9"/>
        <color rgb="FFC00000"/>
        <rFont val="Arial"/>
        <family val="0"/>
        <charset val="1"/>
      </rPr>
      <t xml:space="preserve">B5</t>
    </r>
    <r>
      <rPr>
        <i val="true"/>
        <sz val="9"/>
        <color rgb="FFC00000"/>
        <rFont val="WenQuanYi Zen Hei"/>
        <family val="2"/>
      </rPr>
      <t xml:space="preserve">에 입력</t>
    </r>
  </si>
  <si>
    <t xml:space="preserve">전원</t>
  </si>
  <si>
    <t xml:space="preserve">Reference</t>
  </si>
  <si>
    <r>
      <rPr>
        <b val="true"/>
        <sz val="10"/>
        <color rgb="FFFFFFFF"/>
        <rFont val="WenQuanYi Zen Hei"/>
        <family val="2"/>
      </rPr>
      <t xml:space="preserve">금액 </t>
    </r>
    <r>
      <rPr>
        <b val="true"/>
        <sz val="10"/>
        <color rgb="FFFFFFFF"/>
        <rFont val="Arial"/>
        <family val="0"/>
        <charset val="1"/>
      </rPr>
      <t xml:space="preserve">(1 set)</t>
    </r>
  </si>
  <si>
    <r>
      <rPr>
        <b val="true"/>
        <sz val="10"/>
        <color rgb="FFFFFFFF"/>
        <rFont val="Arial"/>
        <family val="0"/>
        <charset val="1"/>
      </rPr>
      <t xml:space="preserve">DO </t>
    </r>
    <r>
      <rPr>
        <b val="true"/>
        <sz val="10"/>
        <color rgb="FFFFFFFF"/>
        <rFont val="WenQuanYi Zen Hei"/>
        <family val="2"/>
      </rPr>
      <t xml:space="preserve">중 </t>
    </r>
    <r>
      <rPr>
        <b val="true"/>
        <sz val="10"/>
        <color rgb="FFFFFFFF"/>
        <rFont val="Arial"/>
        <family val="0"/>
        <charset val="1"/>
      </rPr>
      <t xml:space="preserve">Relay</t>
    </r>
  </si>
  <si>
    <r>
      <rPr>
        <b val="true"/>
        <sz val="10"/>
        <color rgb="FFFFFFFF"/>
        <rFont val="WenQuanYi Zen Hei"/>
        <family val="2"/>
      </rPr>
      <t xml:space="preserve">판정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요구 점수 대비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</si>
  <si>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AC220V</t>
  </si>
  <si>
    <t xml:space="preserve">DC24V</t>
  </si>
  <si>
    <t xml:space="preserve">연간 금액 비교</t>
  </si>
  <si>
    <t xml:space="preserve">Schneider DC24V</t>
  </si>
  <si>
    <r>
      <rPr>
        <b val="true"/>
        <sz val="10"/>
        <color rgb="FFFFFFFF"/>
        <rFont val="Arial"/>
        <family val="0"/>
        <charset val="1"/>
      </rPr>
      <t xml:space="preserve">Schneider AC220V
(MCC</t>
    </r>
    <r>
      <rPr>
        <b val="true"/>
        <sz val="10"/>
        <color rgb="FFFFFFFF"/>
        <rFont val="WenQuanYi Zen Hei"/>
        <family val="2"/>
      </rPr>
      <t xml:space="preserve">는 </t>
    </r>
    <r>
      <rPr>
        <b val="true"/>
        <sz val="10"/>
        <color rgb="FFFFFFFF"/>
        <rFont val="Arial"/>
        <family val="0"/>
        <charset val="1"/>
      </rPr>
      <t xml:space="preserve">DC)</t>
    </r>
  </si>
  <si>
    <r>
      <rPr>
        <b val="true"/>
        <sz val="10"/>
        <color rgb="FFFFFFFF"/>
        <rFont val="Arial"/>
        <family val="0"/>
        <charset val="1"/>
      </rPr>
      <t xml:space="preserve">Claude 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B
(DC24V, RFQ </t>
    </r>
    <r>
      <rPr>
        <b val="true"/>
        <sz val="10"/>
        <color rgb="FFFFFFFF"/>
        <rFont val="WenQuanYi Zen Hei"/>
        <family val="2"/>
      </rPr>
      <t xml:space="preserve">준수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</si>
  <si>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Claude 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A
(DC24V + Relay)</t>
    </r>
  </si>
  <si>
    <r>
      <rPr>
        <b val="true"/>
        <sz val="10"/>
        <color rgb="FFFFFFFF"/>
        <rFont val="Arial"/>
        <family val="0"/>
        <charset val="1"/>
      </rPr>
      <t xml:space="preserve">Schneider DC − </t>
    </r>
    <r>
      <rPr>
        <b val="true"/>
        <sz val="10"/>
        <color rgb="FFFFFFFF"/>
        <rFont val="WenQuanYi Zen Hei"/>
        <family val="2"/>
      </rPr>
      <t xml:space="preserve">안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</si>
  <si>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i val="true"/>
        <sz val="9"/>
        <color rgb="FFC00000"/>
        <rFont val="Arial"/>
        <family val="0"/>
        <charset val="1"/>
      </rPr>
      <t xml:space="preserve">※ Schneider MCC </t>
    </r>
    <r>
      <rPr>
        <i val="true"/>
        <sz val="9"/>
        <color rgb="FFC00000"/>
        <rFont val="WenQuanYi Zen Hei"/>
        <family val="2"/>
      </rPr>
      <t xml:space="preserve">금액은 </t>
    </r>
    <r>
      <rPr>
        <i val="true"/>
        <sz val="9"/>
        <color rgb="FFC00000"/>
        <rFont val="Arial"/>
        <family val="0"/>
        <charset val="1"/>
      </rPr>
      <t xml:space="preserve">RFQ </t>
    </r>
    <r>
      <rPr>
        <i val="true"/>
        <sz val="9"/>
        <color rgb="FFC00000"/>
        <rFont val="WenQuanYi Zen Hei"/>
        <family val="2"/>
      </rPr>
      <t xml:space="preserve">미준수</t>
    </r>
    <r>
      <rPr>
        <i val="true"/>
        <sz val="9"/>
        <color rgb="FFC00000"/>
        <rFont val="Arial"/>
        <family val="0"/>
        <charset val="1"/>
      </rPr>
      <t xml:space="preserve">(Tr </t>
    </r>
    <r>
      <rPr>
        <i val="true"/>
        <sz val="9"/>
        <color rgb="FFC00000"/>
        <rFont val="WenQuanYi Zen Hei"/>
        <family val="2"/>
      </rPr>
      <t xml:space="preserve">출력</t>
    </r>
    <r>
      <rPr>
        <i val="true"/>
        <sz val="9"/>
        <color rgb="FFC00000"/>
        <rFont val="Arial"/>
        <family val="0"/>
        <charset val="1"/>
      </rPr>
      <t xml:space="preserve">, </t>
    </r>
    <r>
      <rPr>
        <i val="true"/>
        <sz val="9"/>
        <color rgb="FFC00000"/>
        <rFont val="WenQuanYi Zen Hei"/>
        <family val="2"/>
      </rPr>
      <t xml:space="preserve">점수 부족</t>
    </r>
    <r>
      <rPr>
        <i val="true"/>
        <sz val="9"/>
        <color rgb="FFC00000"/>
        <rFont val="Arial"/>
        <family val="0"/>
        <charset val="1"/>
      </rPr>
      <t xml:space="preserve">) </t>
    </r>
    <r>
      <rPr>
        <i val="true"/>
        <sz val="9"/>
        <color rgb="FFC00000"/>
        <rFont val="WenQuanYi Zen Hei"/>
        <family val="2"/>
      </rPr>
      <t xml:space="preserve">구성 </t>
    </r>
    <r>
      <rPr>
        <i val="true"/>
        <sz val="9"/>
        <color rgb="FFC00000"/>
        <rFont val="Arial"/>
        <family val="0"/>
        <charset val="1"/>
      </rPr>
      <t xml:space="preserve">+ CE40T </t>
    </r>
    <r>
      <rPr>
        <i val="true"/>
        <sz val="9"/>
        <color rgb="FFC00000"/>
        <rFont val="WenQuanYi Zen Hei"/>
        <family val="2"/>
      </rPr>
      <t xml:space="preserve">추정 단가 기준이라 안</t>
    </r>
    <r>
      <rPr>
        <i val="true"/>
        <sz val="9"/>
        <color rgb="FFC00000"/>
        <rFont val="Arial"/>
        <family val="0"/>
        <charset val="1"/>
      </rPr>
      <t xml:space="preserve">B</t>
    </r>
    <r>
      <rPr>
        <i val="true"/>
        <sz val="9"/>
        <color rgb="FFC00000"/>
        <rFont val="WenQuanYi Zen Hei"/>
        <family val="2"/>
      </rPr>
      <t xml:space="preserve">와 직접 비교 불가</t>
    </r>
    <r>
      <rPr>
        <i val="true"/>
        <sz val="9"/>
        <color rgb="FFC00000"/>
        <rFont val="Arial"/>
        <family val="0"/>
        <charset val="1"/>
      </rPr>
      <t xml:space="preserve">.</t>
    </r>
  </si>
  <si>
    <r>
      <rPr>
        <b val="true"/>
        <sz val="11"/>
        <color rgb="FF1F3864"/>
        <rFont val="WenQuanYi Zen Hei"/>
        <family val="2"/>
      </rPr>
      <t xml:space="preserve">검토 결과 — </t>
    </r>
    <r>
      <rPr>
        <b val="true"/>
        <sz val="11"/>
        <color rgb="FF1F3864"/>
        <rFont val="Arial"/>
        <family val="0"/>
        <charset val="1"/>
      </rPr>
      <t xml:space="preserve">Schneider </t>
    </r>
    <r>
      <rPr>
        <b val="true"/>
        <sz val="11"/>
        <color rgb="FF1F3864"/>
        <rFont val="WenQuanYi Zen Hei"/>
        <family val="2"/>
      </rPr>
      <t xml:space="preserve">제안 </t>
    </r>
    <r>
      <rPr>
        <b val="true"/>
        <sz val="11"/>
        <color rgb="FF1F3864"/>
        <rFont val="Arial"/>
        <family val="0"/>
        <charset val="1"/>
      </rPr>
      <t xml:space="preserve">vs RFQ (PLC </t>
    </r>
    <r>
      <rPr>
        <b val="true"/>
        <sz val="11"/>
        <color rgb="FF1F3864"/>
        <rFont val="WenQuanYi Zen Hei"/>
        <family val="2"/>
      </rPr>
      <t xml:space="preserve">사양서 </t>
    </r>
    <r>
      <rPr>
        <b val="true"/>
        <sz val="11"/>
        <color rgb="FF1F3864"/>
        <rFont val="Arial"/>
        <family val="0"/>
        <charset val="1"/>
      </rPr>
      <t xml:space="preserve">R3.1)</t>
    </r>
  </si>
  <si>
    <r>
      <rPr>
        <sz val="10"/>
        <color rgb="FFC00000"/>
        <rFont val="Arial"/>
        <family val="0"/>
        <charset val="1"/>
      </rPr>
      <t xml:space="preserve">1. [RFQ </t>
    </r>
    <r>
      <rPr>
        <sz val="10"/>
        <color rgb="FFC00000"/>
        <rFont val="WenQuanYi Zen Hei"/>
        <family val="2"/>
      </rPr>
      <t xml:space="preserve">위반</t>
    </r>
    <r>
      <rPr>
        <sz val="10"/>
        <color rgb="FFC00000"/>
        <rFont val="Arial"/>
        <family val="0"/>
        <charset val="1"/>
      </rPr>
      <t xml:space="preserve">] MCC</t>
    </r>
    <r>
      <rPr>
        <sz val="10"/>
        <color rgb="FFC00000"/>
        <rFont val="WenQuanYi Zen Hei"/>
        <family val="2"/>
      </rPr>
      <t xml:space="preserve">는 </t>
    </r>
    <r>
      <rPr>
        <sz val="10"/>
        <color rgb="FFC00000"/>
        <rFont val="Arial"/>
        <family val="0"/>
        <charset val="1"/>
      </rPr>
      <t xml:space="preserve">'Relay Type Only'(</t>
    </r>
    <r>
      <rPr>
        <sz val="10"/>
        <color rgb="FFC00000"/>
        <rFont val="WenQuanYi Zen Hei"/>
        <family val="2"/>
      </rPr>
      <t xml:space="preserve">공통사항 </t>
    </r>
    <r>
      <rPr>
        <sz val="10"/>
        <color rgb="FFC00000"/>
        <rFont val="Arial"/>
        <family val="0"/>
        <charset val="1"/>
      </rPr>
      <t xml:space="preserve">5)</t>
    </r>
    <r>
      <rPr>
        <sz val="10"/>
        <color rgb="FFC00000"/>
        <rFont val="WenQuanYi Zen Hei"/>
        <family val="2"/>
      </rPr>
      <t xml:space="preserve">인데 제안 </t>
    </r>
    <r>
      <rPr>
        <sz val="10"/>
        <color rgb="FFC00000"/>
        <rFont val="Arial"/>
        <family val="0"/>
        <charset val="1"/>
      </rPr>
      <t xml:space="preserve">DO 40</t>
    </r>
    <r>
      <rPr>
        <sz val="10"/>
        <color rgb="FFC00000"/>
        <rFont val="WenQuanYi Zen Hei"/>
        <family val="2"/>
      </rPr>
      <t xml:space="preserve">점이 전부 </t>
    </r>
    <r>
      <rPr>
        <sz val="10"/>
        <color rgb="FFC00000"/>
        <rFont val="Arial"/>
        <family val="0"/>
        <charset val="1"/>
      </rPr>
      <t xml:space="preserve">Tr(TM241CE40T </t>
    </r>
    <r>
      <rPr>
        <sz val="10"/>
        <color rgb="FFC00000"/>
        <rFont val="WenQuanYi Zen Hei"/>
        <family val="2"/>
      </rPr>
      <t xml:space="preserve">내장 </t>
    </r>
    <r>
      <rPr>
        <sz val="10"/>
        <color rgb="FFC00000"/>
        <rFont val="Arial"/>
        <family val="0"/>
        <charset val="1"/>
      </rPr>
      <t xml:space="preserve">Tr 16 + TM3DQ16T + TM3DQ8T). DC24V Relay </t>
    </r>
    <r>
      <rPr>
        <sz val="10"/>
        <color rgb="FFC00000"/>
        <rFont val="WenQuanYi Zen Hei"/>
        <family val="2"/>
      </rPr>
      <t xml:space="preserve">구성은 </t>
    </r>
    <r>
      <rPr>
        <sz val="10"/>
        <color rgb="FFC00000"/>
        <rFont val="Arial"/>
        <family val="0"/>
        <charset val="1"/>
      </rPr>
      <t xml:space="preserve">TM241CE24T/CE40T + TM3DQ16R</t>
    </r>
    <r>
      <rPr>
        <sz val="10"/>
        <color rgb="FFC00000"/>
        <rFont val="WenQuanYi Zen Hei"/>
        <family val="2"/>
      </rPr>
      <t xml:space="preserve">이어야 함</t>
    </r>
    <r>
      <rPr>
        <sz val="10"/>
        <color rgb="FFC00000"/>
        <rFont val="Arial"/>
        <family val="0"/>
        <charset val="1"/>
      </rPr>
      <t xml:space="preserve">(Claude </t>
    </r>
    <r>
      <rPr>
        <sz val="10"/>
        <color rgb="FFC00000"/>
        <rFont val="WenQuanYi Zen Hei"/>
        <family val="2"/>
      </rPr>
      <t xml:space="preserve">안</t>
    </r>
    <r>
      <rPr>
        <sz val="10"/>
        <color rgb="FFC00000"/>
        <rFont val="Arial"/>
        <family val="0"/>
        <charset val="1"/>
      </rPr>
      <t xml:space="preserve">A/B</t>
    </r>
    <r>
      <rPr>
        <sz val="10"/>
        <color rgb="FFC00000"/>
        <rFont val="WenQuanYi Zen Hei"/>
        <family val="2"/>
      </rPr>
      <t xml:space="preserve">의 </t>
    </r>
    <r>
      <rPr>
        <sz val="10"/>
        <color rgb="FFC00000"/>
        <rFont val="Arial"/>
        <family val="0"/>
        <charset val="1"/>
      </rPr>
      <t xml:space="preserve">MCC </t>
    </r>
    <r>
      <rPr>
        <sz val="10"/>
        <color rgb="FFC00000"/>
        <rFont val="WenQuanYi Zen Hei"/>
        <family val="2"/>
      </rPr>
      <t xml:space="preserve">구성</t>
    </r>
    <r>
      <rPr>
        <sz val="10"/>
        <color rgb="FFC00000"/>
        <rFont val="Arial"/>
        <family val="0"/>
        <charset val="1"/>
      </rPr>
      <t xml:space="preserve">).</t>
    </r>
  </si>
  <si>
    <r>
      <rPr>
        <sz val="10"/>
        <color rgb="FFC00000"/>
        <rFont val="Arial"/>
        <family val="0"/>
        <charset val="1"/>
      </rPr>
      <t xml:space="preserve">2. [</t>
    </r>
    <r>
      <rPr>
        <sz val="10"/>
        <color rgb="FFC00000"/>
        <rFont val="WenQuanYi Zen Hei"/>
        <family val="2"/>
      </rPr>
      <t xml:space="preserve">점수 부족</t>
    </r>
    <r>
      <rPr>
        <sz val="10"/>
        <color rgb="FFC00000"/>
        <rFont val="Arial"/>
        <family val="0"/>
        <charset val="1"/>
      </rPr>
      <t xml:space="preserve">] MCC </t>
    </r>
    <r>
      <rPr>
        <sz val="10"/>
        <color rgb="FFC00000"/>
        <rFont val="WenQuanYi Zen Hei"/>
        <family val="2"/>
      </rPr>
      <t xml:space="preserve">제안 </t>
    </r>
    <r>
      <rPr>
        <sz val="10"/>
        <color rgb="FFC00000"/>
        <rFont val="Arial"/>
        <family val="0"/>
        <charset val="1"/>
      </rPr>
      <t xml:space="preserve">DI 64 / DO 40 / AO 2 — </t>
    </r>
    <r>
      <rPr>
        <sz val="10"/>
        <color rgb="FFC00000"/>
        <rFont val="WenQuanYi Zen Hei"/>
        <family val="2"/>
      </rPr>
      <t xml:space="preserve">현행 유지 요구 </t>
    </r>
    <r>
      <rPr>
        <sz val="10"/>
        <color rgb="FFC00000"/>
        <rFont val="Arial"/>
        <family val="0"/>
        <charset val="1"/>
      </rPr>
      <t xml:space="preserve">DI 102 / DO 54 / AO 4 </t>
    </r>
    <r>
      <rPr>
        <sz val="10"/>
        <color rgb="FFC00000"/>
        <rFont val="WenQuanYi Zen Hei"/>
        <family val="2"/>
      </rPr>
      <t xml:space="preserve">대비 </t>
    </r>
    <r>
      <rPr>
        <sz val="10"/>
        <color rgb="FFC00000"/>
        <rFont val="Arial"/>
        <family val="0"/>
        <charset val="1"/>
      </rPr>
      <t xml:space="preserve">DI 38, DO 14, AO 2 </t>
    </r>
    <r>
      <rPr>
        <sz val="10"/>
        <color rgb="FFC00000"/>
        <rFont val="WenQuanYi Zen Hei"/>
        <family val="2"/>
      </rPr>
      <t xml:space="preserve">부족</t>
    </r>
    <r>
      <rPr>
        <sz val="10"/>
        <color rgb="FFC00000"/>
        <rFont val="Arial"/>
        <family val="0"/>
        <charset val="1"/>
      </rPr>
      <t xml:space="preserve">. Card </t>
    </r>
    <r>
      <rPr>
        <sz val="10"/>
        <color rgb="FFC00000"/>
        <rFont val="WenQuanYi Zen Hei"/>
        <family val="2"/>
      </rPr>
      <t xml:space="preserve">구성 </t>
    </r>
    <r>
      <rPr>
        <sz val="10"/>
        <color rgb="FFC00000"/>
        <rFont val="Arial"/>
        <family val="0"/>
        <charset val="1"/>
      </rPr>
      <t xml:space="preserve">±10% </t>
    </r>
    <r>
      <rPr>
        <sz val="10"/>
        <color rgb="FFC00000"/>
        <rFont val="WenQuanYi Zen Hei"/>
        <family val="2"/>
      </rPr>
      <t xml:space="preserve">허용을 감안해도 미달</t>
    </r>
    <r>
      <rPr>
        <sz val="10"/>
        <color rgb="FFC00000"/>
        <rFont val="Arial"/>
        <family val="0"/>
        <charset val="1"/>
      </rPr>
      <t xml:space="preserve">. </t>
    </r>
    <r>
      <rPr>
        <sz val="10"/>
        <color rgb="FFC00000"/>
        <rFont val="WenQuanYi Zen Hei"/>
        <family val="2"/>
      </rPr>
      <t xml:space="preserve">현행 점수 유지 시 </t>
    </r>
    <r>
      <rPr>
        <sz val="10"/>
        <color rgb="FFC00000"/>
        <rFont val="Arial"/>
        <family val="0"/>
        <charset val="1"/>
      </rPr>
      <t xml:space="preserve">TM3 </t>
    </r>
    <r>
      <rPr>
        <sz val="10"/>
        <color rgb="FFC00000"/>
        <rFont val="WenQuanYi Zen Hei"/>
        <family val="2"/>
      </rPr>
      <t xml:space="preserve">모듈이 </t>
    </r>
    <r>
      <rPr>
        <sz val="10"/>
        <color rgb="FFC00000"/>
        <rFont val="Arial"/>
        <family val="0"/>
        <charset val="1"/>
      </rPr>
      <t xml:space="preserve">7</t>
    </r>
    <r>
      <rPr>
        <sz val="10"/>
        <color rgb="FFC00000"/>
        <rFont val="WenQuanYi Zen Hei"/>
        <family val="2"/>
      </rPr>
      <t xml:space="preserve">개를 넘어 버스 확장</t>
    </r>
    <r>
      <rPr>
        <sz val="10"/>
        <color rgb="FFC00000"/>
        <rFont val="Arial"/>
        <family val="0"/>
        <charset val="1"/>
      </rPr>
      <t xml:space="preserve">(TM3XTRA1/TM3XREC1) </t>
    </r>
    <r>
      <rPr>
        <sz val="10"/>
        <color rgb="FFC00000"/>
        <rFont val="WenQuanYi Zen Hei"/>
        <family val="2"/>
      </rPr>
      <t xml:space="preserve">필요 — 견적에 포함 요청</t>
    </r>
    <r>
      <rPr>
        <sz val="10"/>
        <color rgb="FFC00000"/>
        <rFont val="Arial"/>
        <family val="0"/>
        <charset val="1"/>
      </rPr>
      <t xml:space="preserve">.</t>
    </r>
  </si>
  <si>
    <r>
      <rPr>
        <sz val="10"/>
        <color rgb="FF262626"/>
        <rFont val="Arial"/>
        <family val="0"/>
        <charset val="1"/>
      </rPr>
      <t xml:space="preserve">3. [</t>
    </r>
    <r>
      <rPr>
        <sz val="10"/>
        <color rgb="FF262626"/>
        <rFont val="WenQuanYi Zen Hei"/>
        <family val="2"/>
      </rPr>
      <t xml:space="preserve">가격</t>
    </r>
    <r>
      <rPr>
        <sz val="10"/>
        <color rgb="FF262626"/>
        <rFont val="Arial"/>
        <family val="0"/>
        <charset val="1"/>
      </rPr>
      <t xml:space="preserve">] MCC CPU TM241CE40T</t>
    </r>
    <r>
      <rPr>
        <sz val="10"/>
        <color rgb="FF262626"/>
        <rFont val="WenQuanYi Zen Hei"/>
        <family val="2"/>
      </rPr>
      <t xml:space="preserve">는 가격표에 없음</t>
    </r>
    <r>
      <rPr>
        <sz val="10"/>
        <color rgb="FF262626"/>
        <rFont val="Arial"/>
        <family val="0"/>
        <charset val="1"/>
      </rPr>
      <t xml:space="preserve">(</t>
    </r>
    <r>
      <rPr>
        <sz val="10"/>
        <color rgb="FF262626"/>
        <rFont val="WenQuanYi Zen Hei"/>
        <family val="2"/>
      </rPr>
      <t xml:space="preserve">노란 칸 </t>
    </r>
    <r>
      <rPr>
        <sz val="10"/>
        <color rgb="FF262626"/>
        <rFont val="Arial"/>
        <family val="0"/>
        <charset val="1"/>
      </rPr>
      <t xml:space="preserve">= </t>
    </r>
    <r>
      <rPr>
        <sz val="10"/>
        <color rgb="FF262626"/>
        <rFont val="WenQuanYi Zen Hei"/>
        <family val="2"/>
      </rPr>
      <t xml:space="preserve">추정</t>
    </r>
    <r>
      <rPr>
        <sz val="10"/>
        <color rgb="FF262626"/>
        <rFont val="Arial"/>
        <family val="0"/>
        <charset val="1"/>
      </rPr>
      <t xml:space="preserve">). Table1 '</t>
    </r>
    <r>
      <rPr>
        <sz val="10"/>
        <color rgb="FF262626"/>
        <rFont val="WenQuanYi Zen Hei"/>
        <family val="2"/>
      </rPr>
      <t xml:space="preserve">제안 가격</t>
    </r>
    <r>
      <rPr>
        <sz val="10"/>
        <color rgb="FF262626"/>
        <rFont val="Arial"/>
        <family val="0"/>
        <charset val="1"/>
      </rPr>
      <t xml:space="preserve">' </t>
    </r>
    <r>
      <rPr>
        <sz val="10"/>
        <color rgb="FF262626"/>
        <rFont val="WenQuanYi Zen Hei"/>
        <family val="2"/>
      </rPr>
      <t xml:space="preserve">행도 비어 있음 → 품목별 단가와 함께 </t>
    </r>
    <r>
      <rPr>
        <sz val="10"/>
        <color rgb="FF262626"/>
        <rFont val="Arial"/>
        <family val="0"/>
        <charset val="1"/>
      </rPr>
      <t xml:space="preserve">2027</t>
    </r>
    <r>
      <rPr>
        <sz val="10"/>
        <color rgb="FF262626"/>
        <rFont val="WenQuanYi Zen Hei"/>
        <family val="2"/>
      </rPr>
      <t xml:space="preserve">년 가격 기준 견적 회신 요청</t>
    </r>
    <r>
      <rPr>
        <sz val="10"/>
        <color rgb="FF262626"/>
        <rFont val="Arial"/>
        <family val="0"/>
        <charset val="1"/>
      </rPr>
      <t xml:space="preserve">(</t>
    </r>
    <r>
      <rPr>
        <sz val="10"/>
        <color rgb="FF262626"/>
        <rFont val="WenQuanYi Zen Hei"/>
        <family val="2"/>
      </rPr>
      <t xml:space="preserve">공통사항 </t>
    </r>
    <r>
      <rPr>
        <sz val="10"/>
        <color rgb="FF262626"/>
        <rFont val="Arial"/>
        <family val="0"/>
        <charset val="1"/>
      </rPr>
      <t xml:space="preserve">7). </t>
    </r>
    <r>
      <rPr>
        <sz val="10"/>
        <color rgb="FF262626"/>
        <rFont val="WenQuanYi Zen Hei"/>
        <family val="2"/>
      </rPr>
      <t xml:space="preserve">현재 </t>
    </r>
    <r>
      <rPr>
        <sz val="10"/>
        <color rgb="FF262626"/>
        <rFont val="Arial"/>
        <family val="0"/>
        <charset val="1"/>
      </rPr>
      <t xml:space="preserve">Price List</t>
    </r>
    <r>
      <rPr>
        <sz val="10"/>
        <color rgb="FF262626"/>
        <rFont val="WenQuanYi Zen Hei"/>
        <family val="2"/>
      </rPr>
      <t xml:space="preserve">가 </t>
    </r>
    <r>
      <rPr>
        <sz val="10"/>
        <color rgb="FF262626"/>
        <rFont val="Arial"/>
        <family val="0"/>
        <charset val="1"/>
      </rPr>
      <t xml:space="preserve">2027</t>
    </r>
    <r>
      <rPr>
        <sz val="10"/>
        <color rgb="FF262626"/>
        <rFont val="WenQuanYi Zen Hei"/>
        <family val="2"/>
      </rPr>
      <t xml:space="preserve">년 기준인지도 확인 필요</t>
    </r>
    <r>
      <rPr>
        <sz val="10"/>
        <color rgb="FF262626"/>
        <rFont val="Arial"/>
        <family val="0"/>
        <charset val="1"/>
      </rPr>
      <t xml:space="preserve">.</t>
    </r>
  </si>
  <si>
    <r>
      <rPr>
        <sz val="10"/>
        <color rgb="FF262626"/>
        <rFont val="Arial"/>
        <family val="0"/>
        <charset val="1"/>
      </rPr>
      <t xml:space="preserve">4. [</t>
    </r>
    <r>
      <rPr>
        <sz val="10"/>
        <color rgb="FF262626"/>
        <rFont val="WenQuanYi Zen Hei"/>
        <family val="2"/>
      </rPr>
      <t xml:space="preserve">오기</t>
    </r>
    <r>
      <rPr>
        <sz val="10"/>
        <color rgb="FF262626"/>
        <rFont val="Arial"/>
        <family val="0"/>
        <charset val="1"/>
      </rPr>
      <t xml:space="preserve">] </t>
    </r>
    <r>
      <rPr>
        <sz val="10"/>
        <color rgb="FF262626"/>
        <rFont val="WenQuanYi Zen Hei"/>
        <family val="2"/>
      </rPr>
      <t xml:space="preserve">제안서 </t>
    </r>
    <r>
      <rPr>
        <sz val="10"/>
        <color rgb="FF262626"/>
        <rFont val="Arial"/>
        <family val="0"/>
        <charset val="1"/>
      </rPr>
      <t xml:space="preserve">ANU-S </t>
    </r>
    <r>
      <rPr>
        <sz val="10"/>
        <color rgb="FF262626"/>
        <rFont val="WenQuanYi Zen Hei"/>
        <family val="2"/>
      </rPr>
      <t xml:space="preserve">필수사항이 </t>
    </r>
    <r>
      <rPr>
        <sz val="10"/>
        <color rgb="FF262626"/>
        <rFont val="Arial"/>
        <family val="0"/>
        <charset val="1"/>
      </rPr>
      <t xml:space="preserve">DI 6 / DO 12 / AO 1</t>
    </r>
    <r>
      <rPr>
        <sz val="10"/>
        <color rgb="FF262626"/>
        <rFont val="WenQuanYi Zen Hei"/>
        <family val="2"/>
      </rPr>
      <t xml:space="preserve">로 적혀 있음</t>
    </r>
    <r>
      <rPr>
        <sz val="10"/>
        <color rgb="FF262626"/>
        <rFont val="Arial"/>
        <family val="0"/>
        <charset val="1"/>
      </rPr>
      <t xml:space="preserve">(ANU </t>
    </r>
    <r>
      <rPr>
        <sz val="10"/>
        <color rgb="FF262626"/>
        <rFont val="WenQuanYi Zen Hei"/>
        <family val="2"/>
      </rPr>
      <t xml:space="preserve">값 복사로 보임</t>
    </r>
    <r>
      <rPr>
        <sz val="10"/>
        <color rgb="FF262626"/>
        <rFont val="Arial"/>
        <family val="0"/>
        <charset val="1"/>
      </rPr>
      <t xml:space="preserve">). RFQ </t>
    </r>
    <r>
      <rPr>
        <sz val="10"/>
        <color rgb="FF262626"/>
        <rFont val="WenQuanYi Zen Hei"/>
        <family val="2"/>
      </rPr>
      <t xml:space="preserve">값은 </t>
    </r>
    <r>
      <rPr>
        <sz val="10"/>
        <color rgb="FF262626"/>
        <rFont val="Arial"/>
        <family val="0"/>
        <charset val="1"/>
      </rPr>
      <t xml:space="preserve">DI 3 / DO 5 / AO 1 — RFQ </t>
    </r>
    <r>
      <rPr>
        <sz val="10"/>
        <color rgb="FF262626"/>
        <rFont val="WenQuanYi Zen Hei"/>
        <family val="2"/>
      </rPr>
      <t xml:space="preserve">기준으로는 </t>
    </r>
    <r>
      <rPr>
        <sz val="10"/>
        <color rgb="FF262626"/>
        <rFont val="Arial"/>
        <family val="0"/>
        <charset val="1"/>
      </rPr>
      <t xml:space="preserve">TM241C24x + TM3AQ2</t>
    </r>
    <r>
      <rPr>
        <sz val="10"/>
        <color rgb="FF262626"/>
        <rFont val="WenQuanYi Zen Hei"/>
        <family val="2"/>
      </rPr>
      <t xml:space="preserve">로 충족</t>
    </r>
    <r>
      <rPr>
        <sz val="10"/>
        <color rgb="FF262626"/>
        <rFont val="Arial"/>
        <family val="0"/>
        <charset val="1"/>
      </rPr>
      <t xml:space="preserve">.</t>
    </r>
  </si>
  <si>
    <r>
      <rPr>
        <sz val="10"/>
        <color rgb="FF262626"/>
        <rFont val="Arial"/>
        <family val="0"/>
        <charset val="1"/>
      </rPr>
      <t xml:space="preserve">5. [</t>
    </r>
    <r>
      <rPr>
        <sz val="10"/>
        <color rgb="FF262626"/>
        <rFont val="WenQuanYi Zen Hei"/>
        <family val="2"/>
      </rPr>
      <t xml:space="preserve">오기</t>
    </r>
    <r>
      <rPr>
        <sz val="10"/>
        <color rgb="FF262626"/>
        <rFont val="Arial"/>
        <family val="0"/>
        <charset val="1"/>
      </rPr>
      <t xml:space="preserve">] MCC </t>
    </r>
    <r>
      <rPr>
        <sz val="10"/>
        <color rgb="FF262626"/>
        <rFont val="WenQuanYi Zen Hei"/>
        <family val="2"/>
      </rPr>
      <t xml:space="preserve">슬라이드 </t>
    </r>
    <r>
      <rPr>
        <sz val="10"/>
        <color rgb="FF262626"/>
        <rFont val="Arial"/>
        <family val="0"/>
        <charset val="1"/>
      </rPr>
      <t xml:space="preserve">'TM3DI18' → TM3DI8(Table1</t>
    </r>
    <r>
      <rPr>
        <sz val="10"/>
        <color rgb="FF262626"/>
        <rFont val="WenQuanYi Zen Hei"/>
        <family val="2"/>
      </rPr>
      <t xml:space="preserve">과 일치</t>
    </r>
    <r>
      <rPr>
        <sz val="10"/>
        <color rgb="FF262626"/>
        <rFont val="Arial"/>
        <family val="0"/>
        <charset val="1"/>
      </rPr>
      <t xml:space="preserve">). MCC </t>
    </r>
    <r>
      <rPr>
        <sz val="10"/>
        <color rgb="FF262626"/>
        <rFont val="WenQuanYi Zen Hei"/>
        <family val="2"/>
      </rPr>
      <t xml:space="preserve">슬라이드 사진은 </t>
    </r>
    <r>
      <rPr>
        <sz val="10"/>
        <color rgb="FF262626"/>
        <rFont val="Arial"/>
        <family val="0"/>
        <charset val="1"/>
      </rPr>
      <t xml:space="preserve">Relay CPU(TM241C40R) </t>
    </r>
    <r>
      <rPr>
        <sz val="10"/>
        <color rgb="FF262626"/>
        <rFont val="WenQuanYi Zen Hei"/>
        <family val="2"/>
      </rPr>
      <t xml:space="preserve">이미지로 표 내용</t>
    </r>
    <r>
      <rPr>
        <sz val="10"/>
        <color rgb="FF262626"/>
        <rFont val="Arial"/>
        <family val="0"/>
        <charset val="1"/>
      </rPr>
      <t xml:space="preserve">(CE40T)</t>
    </r>
    <r>
      <rPr>
        <sz val="10"/>
        <color rgb="FF262626"/>
        <rFont val="WenQuanYi Zen Hei"/>
        <family val="2"/>
      </rPr>
      <t xml:space="preserve">과 다름</t>
    </r>
    <r>
      <rPr>
        <sz val="10"/>
        <color rgb="FF262626"/>
        <rFont val="Arial"/>
        <family val="0"/>
        <charset val="1"/>
      </rPr>
      <t xml:space="preserve">.</t>
    </r>
  </si>
  <si>
    <r>
      <rPr>
        <sz val="10"/>
        <color rgb="FF262626"/>
        <rFont val="Arial"/>
        <family val="0"/>
        <charset val="1"/>
      </rPr>
      <t xml:space="preserve">6. [</t>
    </r>
    <r>
      <rPr>
        <sz val="10"/>
        <color rgb="FF262626"/>
        <rFont val="WenQuanYi Zen Hei"/>
        <family val="2"/>
      </rPr>
      <t xml:space="preserve">확인</t>
    </r>
    <r>
      <rPr>
        <sz val="10"/>
        <color rgb="FF262626"/>
        <rFont val="Arial"/>
        <family val="0"/>
        <charset val="1"/>
      </rPr>
      <t xml:space="preserve">] ANU: RFQ </t>
    </r>
    <r>
      <rPr>
        <sz val="10"/>
        <color rgb="FF262626"/>
        <rFont val="WenQuanYi Zen Hei"/>
        <family val="2"/>
      </rPr>
      <t xml:space="preserve">필수사항엔 </t>
    </r>
    <r>
      <rPr>
        <sz val="10"/>
        <color rgb="FF262626"/>
        <rFont val="Arial"/>
        <family val="0"/>
        <charset val="1"/>
      </rPr>
      <t xml:space="preserve">AO</t>
    </r>
    <r>
      <rPr>
        <sz val="10"/>
        <color rgb="FF262626"/>
        <rFont val="WenQuanYi Zen Hei"/>
        <family val="2"/>
      </rPr>
      <t xml:space="preserve">가 없어 제안도 </t>
    </r>
    <r>
      <rPr>
        <sz val="10"/>
        <color rgb="FF262626"/>
        <rFont val="Arial"/>
        <family val="0"/>
        <charset val="1"/>
      </rPr>
      <t xml:space="preserve">AO </t>
    </r>
    <r>
      <rPr>
        <sz val="10"/>
        <color rgb="FF262626"/>
        <rFont val="WenQuanYi Zen Hei"/>
        <family val="2"/>
      </rPr>
      <t xml:space="preserve">없음</t>
    </r>
    <r>
      <rPr>
        <sz val="10"/>
        <color rgb="FF262626"/>
        <rFont val="Arial"/>
        <family val="0"/>
        <charset val="1"/>
      </rPr>
      <t xml:space="preserve">. </t>
    </r>
    <r>
      <rPr>
        <sz val="10"/>
        <color rgb="FF262626"/>
        <rFont val="WenQuanYi Zen Hei"/>
        <family val="2"/>
      </rPr>
      <t xml:space="preserve">기존 하드웨어엔 </t>
    </r>
    <r>
      <rPr>
        <sz val="10"/>
        <color rgb="FF262626"/>
        <rFont val="Arial"/>
        <family val="0"/>
        <charset val="1"/>
      </rPr>
      <t xml:space="preserve">AO561(AO2)</t>
    </r>
    <r>
      <rPr>
        <sz val="10"/>
        <color rgb="FF262626"/>
        <rFont val="WenQuanYi Zen Hei"/>
        <family val="2"/>
      </rPr>
      <t xml:space="preserve">이 있으므로 실사용 여부 확인 — 사용 중이면 </t>
    </r>
    <r>
      <rPr>
        <sz val="10"/>
        <color rgb="FF262626"/>
        <rFont val="Arial"/>
        <family val="0"/>
        <charset val="1"/>
      </rPr>
      <t xml:space="preserve">TM3AQ2 </t>
    </r>
    <r>
      <rPr>
        <sz val="10"/>
        <color rgb="FF262626"/>
        <rFont val="WenQuanYi Zen Hei"/>
        <family val="2"/>
      </rPr>
      <t xml:space="preserve">추가</t>
    </r>
    <r>
      <rPr>
        <sz val="10"/>
        <color rgb="FF262626"/>
        <rFont val="Arial"/>
        <family val="0"/>
        <charset val="1"/>
      </rPr>
      <t xml:space="preserve">(+138,400/set, </t>
    </r>
    <r>
      <rPr>
        <sz val="10"/>
        <color rgb="FF262626"/>
        <rFont val="WenQuanYi Zen Hei"/>
        <family val="2"/>
      </rPr>
      <t xml:space="preserve">연 </t>
    </r>
    <r>
      <rPr>
        <sz val="10"/>
        <color rgb="FF262626"/>
        <rFont val="Arial"/>
        <family val="0"/>
        <charset val="1"/>
      </rPr>
      <t xml:space="preserve">41,520,000).</t>
    </r>
  </si>
  <si>
    <r>
      <rPr>
        <sz val="10"/>
        <color rgb="FF262626"/>
        <rFont val="Arial"/>
        <family val="0"/>
        <charset val="1"/>
      </rPr>
      <t xml:space="preserve">7. [</t>
    </r>
    <r>
      <rPr>
        <sz val="10"/>
        <color rgb="FF262626"/>
        <rFont val="WenQuanYi Zen Hei"/>
        <family val="2"/>
      </rPr>
      <t xml:space="preserve">충족</t>
    </r>
    <r>
      <rPr>
        <sz val="10"/>
        <color rgb="FF262626"/>
        <rFont val="Arial"/>
        <family val="0"/>
        <charset val="1"/>
      </rPr>
      <t xml:space="preserve">] TSU / ANU / ANU-S</t>
    </r>
    <r>
      <rPr>
        <sz val="10"/>
        <color rgb="FF262626"/>
        <rFont val="WenQuanYi Zen Hei"/>
        <family val="2"/>
      </rPr>
      <t xml:space="preserve">는 </t>
    </r>
    <r>
      <rPr>
        <sz val="10"/>
        <color rgb="FF262626"/>
        <rFont val="Arial"/>
        <family val="0"/>
        <charset val="1"/>
      </rPr>
      <t xml:space="preserve">AC220V·DC24V </t>
    </r>
    <r>
      <rPr>
        <sz val="10"/>
        <color rgb="FF262626"/>
        <rFont val="WenQuanYi Zen Hei"/>
        <family val="2"/>
      </rPr>
      <t xml:space="preserve">모두 필수 점수 </t>
    </r>
    <r>
      <rPr>
        <sz val="10"/>
        <color rgb="FF262626"/>
        <rFont val="Arial"/>
        <family val="0"/>
        <charset val="1"/>
      </rPr>
      <t xml:space="preserve">+10% Spare, Serial 2CH </t>
    </r>
    <r>
      <rPr>
        <sz val="10"/>
        <color rgb="FF262626"/>
        <rFont val="WenQuanYi Zen Hei"/>
        <family val="2"/>
      </rPr>
      <t xml:space="preserve">충족</t>
    </r>
    <r>
      <rPr>
        <sz val="10"/>
        <color rgb="FF262626"/>
        <rFont val="Arial"/>
        <family val="0"/>
        <charset val="1"/>
      </rPr>
      <t xml:space="preserve">. </t>
    </r>
    <r>
      <rPr>
        <sz val="10"/>
        <color rgb="FF262626"/>
        <rFont val="WenQuanYi Zen Hei"/>
        <family val="2"/>
      </rPr>
      <t xml:space="preserve">제안 모델이 </t>
    </r>
    <r>
      <rPr>
        <sz val="10"/>
        <color rgb="FF262626"/>
        <rFont val="Arial"/>
        <family val="0"/>
        <charset val="1"/>
      </rPr>
      <t xml:space="preserve">RFQ #1 </t>
    </r>
    <r>
      <rPr>
        <sz val="10"/>
        <color rgb="FF262626"/>
        <rFont val="WenQuanYi Zen Hei"/>
        <family val="2"/>
      </rPr>
      <t xml:space="preserve">세부 사양서의 </t>
    </r>
    <r>
      <rPr>
        <sz val="10"/>
        <color rgb="FF262626"/>
        <rFont val="Arial"/>
        <family val="0"/>
        <charset val="1"/>
      </rPr>
      <t xml:space="preserve">Schneider </t>
    </r>
    <r>
      <rPr>
        <sz val="10"/>
        <color rgb="FF262626"/>
        <rFont val="WenQuanYi Zen Hei"/>
        <family val="2"/>
      </rPr>
      <t xml:space="preserve">후보군</t>
    </r>
    <r>
      <rPr>
        <sz val="10"/>
        <color rgb="FF262626"/>
        <rFont val="Arial"/>
        <family val="0"/>
        <charset val="1"/>
      </rPr>
      <t xml:space="preserve">(TM3DI8/16, TM3DQ8R/T/U·16, TM3AQ2·4) </t>
    </r>
    <r>
      <rPr>
        <sz val="10"/>
        <color rgb="FF262626"/>
        <rFont val="WenQuanYi Zen Hei"/>
        <family val="2"/>
      </rPr>
      <t xml:space="preserve">안에 있음</t>
    </r>
    <r>
      <rPr>
        <sz val="10"/>
        <color rgb="FF262626"/>
        <rFont val="Arial"/>
        <family val="0"/>
        <charset val="1"/>
      </rPr>
      <t xml:space="preserve">. </t>
    </r>
    <r>
      <rPr>
        <sz val="10"/>
        <color rgb="FF262626"/>
        <rFont val="WenQuanYi Zen Hei"/>
        <family val="2"/>
      </rPr>
      <t xml:space="preserve">선급 인증 </t>
    </r>
    <r>
      <rPr>
        <sz val="10"/>
        <color rgb="FF262626"/>
        <rFont val="Arial"/>
        <family val="0"/>
        <charset val="1"/>
      </rPr>
      <t xml:space="preserve">LR/ABS/DNV-GL/KR </t>
    </r>
    <r>
      <rPr>
        <sz val="10"/>
        <color rgb="FF262626"/>
        <rFont val="WenQuanYi Zen Hei"/>
        <family val="2"/>
      </rPr>
      <t xml:space="preserve">명시</t>
    </r>
    <r>
      <rPr>
        <sz val="10"/>
        <color rgb="FF262626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</si>
</sst>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General"/>
    <numFmt numFmtId="167" formatCode="0.000"/>
    <numFmt numFmtId="168" formatCode="0;\-0;\-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i val="true"/>
      <sz val="10"/>
      <name val="WenQuanYi Zen Hei"/>
      <family val="2"/>
    </font>
    <font>
      <i val="true"/>
      <sz val="10"/>
      <name val="Arial"/>
      <family val="0"/>
      <charset val="1"/>
    </font>
    <font>
      <sz val="9"/>
      <color rgb="FF404040"/>
      <name val="WenQuanYi Zen Hei"/>
      <family val="2"/>
    </font>
    <font>
      <sz val="9"/>
      <color rgb="FF40404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WenQuanYi Zen Hei"/>
      <family val="2"/>
    </font>
    <font>
      <sz val="10"/>
      <color rgb="FF000000"/>
      <name val="WenQuanYi Zen Hei"/>
      <family val="2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i val="true"/>
      <sz val="9"/>
      <color rgb="FFC00000"/>
      <name val="WenQuanYi Zen Hei"/>
      <family val="2"/>
    </font>
    <font>
      <i val="true"/>
      <sz val="9"/>
      <color rgb="FFC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C00000"/>
      <name val="WenQuanYi Zen Hei"/>
      <family val="2"/>
    </font>
    <font>
      <sz val="10"/>
      <color rgb="FF262626"/>
      <name val="Arial"/>
      <family val="0"/>
      <charset val="1"/>
    </font>
    <font>
      <sz val="10"/>
      <color rgb="FF262626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1F2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3" min="3" style="0" width="9"/>
    <col collapsed="false" customWidth="true" hidden="false" outlineLevel="0" max="6" min="4" style="0" width="15"/>
    <col collapsed="false" customWidth="true" hidden="false" outlineLevel="0" max="9" min="7" style="0" width="14"/>
  </cols>
  <sheetData>
    <row r="1" customFormat="false" ht="17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3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customFormat="false" ht="15" hidden="false" customHeight="false" outlineLevel="0" collapsed="false">
      <c r="A4" s="3" t="s">
        <v>10</v>
      </c>
      <c r="B4" s="4" t="s">
        <v>11</v>
      </c>
      <c r="C4" s="5" t="n">
        <v>200</v>
      </c>
      <c r="D4" s="6" t="n">
        <f aca="false">'기준사양 매칭'!G9</f>
        <v>457250</v>
      </c>
      <c r="E4" s="6" t="n">
        <f aca="false">'기준사양 매칭'!G11</f>
        <v>392850</v>
      </c>
      <c r="F4" s="6" t="n">
        <f aca="false">'기준사양 매칭'!G13</f>
        <v>384750</v>
      </c>
      <c r="G4" s="7" t="n">
        <f aca="false">$C4*D4</f>
        <v>91450000</v>
      </c>
      <c r="H4" s="7" t="n">
        <f aca="false">$C4*E4</f>
        <v>78570000</v>
      </c>
      <c r="I4" s="7" t="n">
        <f aca="false">$C4*F4</f>
        <v>76950000</v>
      </c>
    </row>
    <row r="5" customFormat="false" ht="15" hidden="false" customHeight="false" outlineLevel="0" collapsed="false">
      <c r="A5" s="3" t="s">
        <v>12</v>
      </c>
      <c r="B5" s="4" t="s">
        <v>13</v>
      </c>
      <c r="C5" s="5" t="n">
        <v>300</v>
      </c>
      <c r="D5" s="6" t="n">
        <f aca="false">'기준사양 매칭'!G20</f>
        <v>622050</v>
      </c>
      <c r="E5" s="6" t="n">
        <f aca="false">'기준사양 매칭'!G23</f>
        <v>556000</v>
      </c>
      <c r="F5" s="6" t="n">
        <f aca="false">'기준사양 매칭'!G26</f>
        <v>544750</v>
      </c>
      <c r="G5" s="7" t="n">
        <f aca="false">$C5*D5</f>
        <v>186615000</v>
      </c>
      <c r="H5" s="7" t="n">
        <f aca="false">$C5*E5</f>
        <v>166800000</v>
      </c>
      <c r="I5" s="7" t="n">
        <f aca="false">$C5*F5</f>
        <v>163425000</v>
      </c>
    </row>
    <row r="6" customFormat="false" ht="15" hidden="false" customHeight="false" outlineLevel="0" collapsed="false">
      <c r="A6" s="3" t="s">
        <v>14</v>
      </c>
      <c r="B6" s="4" t="s">
        <v>15</v>
      </c>
      <c r="C6" s="5" t="n">
        <v>50</v>
      </c>
      <c r="D6" s="6" t="n">
        <f aca="false">'기준사양 매칭'!G33</f>
        <v>595650</v>
      </c>
      <c r="E6" s="6" t="n">
        <f aca="false">'기준사양 매칭'!G36</f>
        <v>531250</v>
      </c>
      <c r="F6" s="6" t="n">
        <f aca="false">'기준사양 매칭'!G39</f>
        <v>523150</v>
      </c>
      <c r="G6" s="7" t="n">
        <f aca="false">$C6*D6</f>
        <v>29782500</v>
      </c>
      <c r="H6" s="7" t="n">
        <f aca="false">$C6*E6</f>
        <v>26562500</v>
      </c>
      <c r="I6" s="7" t="n">
        <f aca="false">$C6*F6</f>
        <v>26157500</v>
      </c>
    </row>
    <row r="7" customFormat="false" ht="15" hidden="false" customHeight="false" outlineLevel="0" collapsed="false">
      <c r="A7" s="3" t="s">
        <v>16</v>
      </c>
      <c r="B7" s="4" t="s">
        <v>17</v>
      </c>
      <c r="C7" s="5" t="n">
        <v>100</v>
      </c>
      <c r="D7" s="6" t="n">
        <f aca="false">'기준사양 매칭'!G47</f>
        <v>1449500</v>
      </c>
      <c r="E7" s="6" t="n">
        <f aca="false">'기준사양 매칭'!G52</f>
        <v>1449500</v>
      </c>
      <c r="F7" s="6" t="n">
        <f aca="false">'기준사양 매칭'!G57</f>
        <v>1449500</v>
      </c>
      <c r="G7" s="7" t="n">
        <f aca="false">$C7*D7</f>
        <v>144950000</v>
      </c>
      <c r="H7" s="7" t="n">
        <f aca="false">$C7*E7</f>
        <v>144950000</v>
      </c>
      <c r="I7" s="7" t="n">
        <f aca="false">$C7*F7</f>
        <v>144950000</v>
      </c>
    </row>
    <row r="8" customFormat="false" ht="15" hidden="false" customHeight="false" outlineLevel="0" collapsed="false">
      <c r="A8" s="8" t="s">
        <v>18</v>
      </c>
      <c r="B8" s="8"/>
      <c r="C8" s="9" t="n">
        <f aca="false">SUM(C4:C7)</f>
        <v>650</v>
      </c>
      <c r="D8" s="10" t="n">
        <f aca="false">SUM(D4:D7)</f>
        <v>3124450</v>
      </c>
      <c r="E8" s="10" t="n">
        <f aca="false">SUM(E4:E7)</f>
        <v>2929600</v>
      </c>
      <c r="F8" s="10" t="n">
        <f aca="false">SUM(F4:F7)</f>
        <v>2902150</v>
      </c>
      <c r="G8" s="10" t="n">
        <f aca="false">SUM(G4:G7)</f>
        <v>452797500</v>
      </c>
      <c r="H8" s="10" t="n">
        <f aca="false">SUM(H4:H7)</f>
        <v>416882500</v>
      </c>
      <c r="I8" s="10" t="n">
        <f aca="false">SUM(I4:I7)</f>
        <v>411482500</v>
      </c>
    </row>
    <row r="9" customFormat="false" ht="15" hidden="false" customHeight="false" outlineLevel="0" collapsed="false">
      <c r="A9" s="11" t="s">
        <v>19</v>
      </c>
      <c r="B9" s="11"/>
      <c r="C9" s="11"/>
      <c r="D9" s="11"/>
      <c r="E9" s="11"/>
      <c r="F9" s="11"/>
      <c r="G9" s="12" t="n">
        <f aca="false">G8-$G$8</f>
        <v>0</v>
      </c>
      <c r="H9" s="12" t="n">
        <f aca="false">H8-$G$8</f>
        <v>-35915000</v>
      </c>
      <c r="I9" s="12" t="n">
        <f aca="false">I8-$G$8</f>
        <v>-41315000</v>
      </c>
    </row>
    <row r="11" customFormat="false" ht="25.5" hidden="false" customHeight="true" outlineLevel="0" collapsed="false">
      <c r="A11" s="13" t="s">
        <v>20</v>
      </c>
      <c r="B11" s="13"/>
      <c r="C11" s="13"/>
      <c r="D11" s="13"/>
      <c r="E11" s="13"/>
      <c r="F11" s="13"/>
      <c r="G11" s="13"/>
      <c r="H11" s="13"/>
      <c r="I11" s="13"/>
    </row>
    <row r="12" customFormat="false" ht="25.5" hidden="false" customHeight="true" outlineLevel="0" collapsed="false">
      <c r="A12" s="13" t="s">
        <v>21</v>
      </c>
      <c r="B12" s="13"/>
      <c r="C12" s="13"/>
      <c r="D12" s="13"/>
      <c r="E12" s="13"/>
      <c r="F12" s="13"/>
      <c r="G12" s="13"/>
      <c r="H12" s="13"/>
      <c r="I12" s="13"/>
    </row>
    <row r="13" customFormat="false" ht="25.5" hidden="false" customHeight="true" outlineLevel="0" collapsed="false">
      <c r="A13" s="13" t="s">
        <v>22</v>
      </c>
      <c r="B13" s="13"/>
      <c r="C13" s="13"/>
      <c r="D13" s="13"/>
      <c r="E13" s="13"/>
      <c r="F13" s="13"/>
      <c r="G13" s="13"/>
      <c r="H13" s="13"/>
      <c r="I13" s="13"/>
    </row>
    <row r="14" customFormat="false" ht="25.5" hidden="false" customHeight="true" outlineLevel="0" collapsed="false">
      <c r="A14" s="13" t="s">
        <v>23</v>
      </c>
      <c r="B14" s="13"/>
      <c r="C14" s="13"/>
      <c r="D14" s="13"/>
      <c r="E14" s="13"/>
      <c r="F14" s="13"/>
      <c r="G14" s="13"/>
      <c r="H14" s="13"/>
      <c r="I14" s="13"/>
    </row>
    <row r="15" customFormat="false" ht="25.5" hidden="false" customHeight="true" outlineLevel="0" collapsed="false">
      <c r="A15" s="14" t="s">
        <v>24</v>
      </c>
      <c r="B15" s="14"/>
      <c r="C15" s="14"/>
      <c r="D15" s="14"/>
      <c r="E15" s="14"/>
      <c r="F15" s="14"/>
      <c r="G15" s="14"/>
      <c r="H15" s="14"/>
      <c r="I15" s="14"/>
    </row>
    <row r="16" customFormat="false" ht="25.5" hidden="false" customHeight="true" outlineLevel="0" collapsed="false">
      <c r="A16" s="14" t="s">
        <v>25</v>
      </c>
      <c r="B16" s="14"/>
      <c r="C16" s="14"/>
      <c r="D16" s="14"/>
      <c r="E16" s="14"/>
      <c r="F16" s="14"/>
      <c r="G16" s="14"/>
      <c r="H16" s="14"/>
      <c r="I16" s="14"/>
    </row>
    <row r="17" customFormat="false" ht="25.5" hidden="false" customHeight="true" outlineLevel="0" collapsed="false">
      <c r="A17" s="13" t="s">
        <v>26</v>
      </c>
      <c r="B17" s="13"/>
      <c r="C17" s="13"/>
      <c r="D17" s="13"/>
      <c r="E17" s="13"/>
      <c r="F17" s="13"/>
      <c r="G17" s="13"/>
      <c r="H17" s="13"/>
      <c r="I17" s="13"/>
    </row>
    <row r="18" customFormat="false" ht="25.5" hidden="false" customHeight="true" outlineLevel="0" collapsed="false">
      <c r="A18" s="13" t="s">
        <v>27</v>
      </c>
      <c r="B18" s="13"/>
      <c r="C18" s="13"/>
      <c r="D18" s="13"/>
      <c r="E18" s="13"/>
      <c r="F18" s="13"/>
      <c r="G18" s="13"/>
      <c r="H18" s="13"/>
      <c r="I18" s="13"/>
    </row>
  </sheetData>
  <mergeCells count="11">
    <mergeCell ref="A1:H1"/>
    <mergeCell ref="A8:B8"/>
    <mergeCell ref="A9:F9"/>
    <mergeCell ref="A11:I11"/>
    <mergeCell ref="A12:I12"/>
    <mergeCell ref="A13:I13"/>
    <mergeCell ref="A14:I14"/>
    <mergeCell ref="A15:I15"/>
    <mergeCell ref="A16:I16"/>
    <mergeCell ref="A17:I17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6"/>
    <col collapsed="false" customWidth="true" hidden="false" outlineLevel="0" max="13" min="12" style="0" width="8"/>
    <col collapsed="false" customWidth="true" hidden="false" outlineLevel="0" max="15" min="14" style="0" width="6"/>
    <col collapsed="false" customWidth="true" hidden="false" outlineLevel="0" max="16" min="16" style="0" width="7"/>
    <col collapsed="false" customWidth="true" hidden="false" outlineLevel="0" max="17" min="17" style="0" width="8"/>
    <col collapsed="false" customWidth="true" hidden="false" outlineLevel="0" max="18" min="18" style="0" width="18"/>
  </cols>
  <sheetData>
    <row r="1" customFormat="false" ht="15" hidden="false" customHeight="true" outlineLevel="0" collapsed="false">
      <c r="A1" s="15" t="s">
        <v>28</v>
      </c>
      <c r="B1" s="15" t="s">
        <v>29</v>
      </c>
      <c r="C1" s="15" t="s">
        <v>30</v>
      </c>
      <c r="D1" s="15" t="s">
        <v>31</v>
      </c>
      <c r="E1" s="15" t="s">
        <v>32</v>
      </c>
      <c r="F1" s="15" t="s">
        <v>33</v>
      </c>
      <c r="G1" s="15"/>
      <c r="H1" s="15" t="s">
        <v>34</v>
      </c>
      <c r="I1" s="15"/>
      <c r="J1" s="15"/>
      <c r="K1" s="15" t="s">
        <v>35</v>
      </c>
      <c r="L1" s="15"/>
      <c r="M1" s="15"/>
      <c r="N1" s="15"/>
      <c r="O1" s="15"/>
      <c r="P1" s="15"/>
      <c r="Q1" s="15"/>
      <c r="R1" s="15"/>
    </row>
    <row r="2" customFormat="false" ht="30" hidden="false" customHeight="true" outlineLevel="0" collapsed="false">
      <c r="A2" s="15"/>
      <c r="B2" s="15"/>
      <c r="C2" s="15"/>
      <c r="D2" s="15"/>
      <c r="E2" s="15"/>
      <c r="F2" s="15" t="s">
        <v>36</v>
      </c>
      <c r="G2" s="15" t="s">
        <v>37</v>
      </c>
      <c r="H2" s="15" t="s">
        <v>38</v>
      </c>
      <c r="I2" s="15" t="s">
        <v>36</v>
      </c>
      <c r="J2" s="15" t="s">
        <v>37</v>
      </c>
      <c r="K2" s="15" t="s">
        <v>39</v>
      </c>
      <c r="L2" s="15" t="s">
        <v>40</v>
      </c>
      <c r="M2" s="15" t="s">
        <v>41</v>
      </c>
      <c r="N2" s="15" t="s">
        <v>42</v>
      </c>
      <c r="O2" s="15" t="s">
        <v>43</v>
      </c>
      <c r="P2" s="15" t="s">
        <v>44</v>
      </c>
      <c r="Q2" s="15" t="s">
        <v>45</v>
      </c>
      <c r="R2" s="2" t="s">
        <v>46</v>
      </c>
    </row>
    <row r="3" customFormat="false" ht="15" hidden="false" customHeight="false" outlineLevel="0" collapsed="false">
      <c r="A3" s="16" t="n">
        <v>1</v>
      </c>
      <c r="B3" s="16" t="s">
        <v>47</v>
      </c>
      <c r="C3" s="17" t="s">
        <v>48</v>
      </c>
      <c r="D3" s="16" t="s">
        <v>49</v>
      </c>
      <c r="E3" s="18" t="n">
        <v>1</v>
      </c>
      <c r="F3" s="19" t="n">
        <v>886000</v>
      </c>
      <c r="G3" s="20" t="n">
        <f aca="false">E3*F3</f>
        <v>886000</v>
      </c>
      <c r="H3" s="21" t="n">
        <v>0.45</v>
      </c>
      <c r="I3" s="20" t="n">
        <f aca="false">ROUND(F3*H3,0)</f>
        <v>398700</v>
      </c>
      <c r="J3" s="20" t="n">
        <f aca="false">E3*I3</f>
        <v>398700</v>
      </c>
      <c r="K3" s="22" t="n">
        <v>14</v>
      </c>
      <c r="L3" s="22" t="n">
        <v>10</v>
      </c>
      <c r="M3" s="22" t="n">
        <v>0</v>
      </c>
      <c r="N3" s="22" t="n">
        <v>0</v>
      </c>
      <c r="O3" s="22" t="n">
        <v>0</v>
      </c>
      <c r="P3" s="22" t="n">
        <v>2</v>
      </c>
      <c r="Q3" s="22" t="n">
        <v>1</v>
      </c>
      <c r="R3" s="17" t="s">
        <v>50</v>
      </c>
    </row>
    <row r="4" customFormat="false" ht="15" hidden="false" customHeight="false" outlineLevel="0" collapsed="false">
      <c r="A4" s="16" t="n">
        <v>2</v>
      </c>
      <c r="B4" s="16" t="s">
        <v>47</v>
      </c>
      <c r="C4" s="17" t="s">
        <v>51</v>
      </c>
      <c r="D4" s="16" t="s">
        <v>49</v>
      </c>
      <c r="E4" s="18" t="n">
        <v>1</v>
      </c>
      <c r="F4" s="19" t="n">
        <v>873000</v>
      </c>
      <c r="G4" s="20" t="n">
        <f aca="false">E4*F4</f>
        <v>873000</v>
      </c>
      <c r="H4" s="21" t="n">
        <v>0.45</v>
      </c>
      <c r="I4" s="20" t="n">
        <f aca="false">ROUND(F4*H4,0)</f>
        <v>392850</v>
      </c>
      <c r="J4" s="20" t="n">
        <f aca="false">E4*I4</f>
        <v>392850</v>
      </c>
      <c r="K4" s="22" t="n">
        <v>14</v>
      </c>
      <c r="L4" s="22" t="n">
        <v>10</v>
      </c>
      <c r="M4" s="22" t="n">
        <v>0</v>
      </c>
      <c r="N4" s="22" t="n">
        <v>0</v>
      </c>
      <c r="O4" s="22" t="n">
        <v>0</v>
      </c>
      <c r="P4" s="22" t="n">
        <v>2</v>
      </c>
      <c r="Q4" s="22" t="n">
        <v>0</v>
      </c>
      <c r="R4" s="17" t="s">
        <v>52</v>
      </c>
    </row>
    <row r="5" customFormat="false" ht="15" hidden="false" customHeight="false" outlineLevel="0" collapsed="false">
      <c r="A5" s="16" t="n">
        <v>3</v>
      </c>
      <c r="B5" s="16" t="s">
        <v>47</v>
      </c>
      <c r="C5" s="17" t="s">
        <v>53</v>
      </c>
      <c r="D5" s="16" t="s">
        <v>54</v>
      </c>
      <c r="E5" s="18" t="n">
        <v>1</v>
      </c>
      <c r="F5" s="19" t="n">
        <v>855000</v>
      </c>
      <c r="G5" s="20" t="n">
        <f aca="false">E5*F5</f>
        <v>855000</v>
      </c>
      <c r="H5" s="21" t="n">
        <v>0.45</v>
      </c>
      <c r="I5" s="20" t="n">
        <f aca="false">ROUND(F5*H5,0)</f>
        <v>384750</v>
      </c>
      <c r="J5" s="20" t="n">
        <f aca="false">E5*I5</f>
        <v>384750</v>
      </c>
      <c r="K5" s="22" t="n">
        <v>14</v>
      </c>
      <c r="L5" s="22" t="n">
        <v>4</v>
      </c>
      <c r="M5" s="22" t="n">
        <v>6</v>
      </c>
      <c r="N5" s="22" t="n">
        <v>0</v>
      </c>
      <c r="O5" s="22" t="n">
        <v>0</v>
      </c>
      <c r="P5" s="22" t="n">
        <v>2</v>
      </c>
      <c r="Q5" s="22" t="n">
        <v>0</v>
      </c>
      <c r="R5" s="17" t="s">
        <v>55</v>
      </c>
    </row>
    <row r="6" customFormat="false" ht="15" hidden="false" customHeight="false" outlineLevel="0" collapsed="false">
      <c r="A6" s="16" t="n">
        <v>4</v>
      </c>
      <c r="B6" s="16" t="s">
        <v>47</v>
      </c>
      <c r="C6" s="17" t="s">
        <v>56</v>
      </c>
      <c r="D6" s="16" t="s">
        <v>49</v>
      </c>
      <c r="E6" s="18" t="n">
        <v>1</v>
      </c>
      <c r="F6" s="19" t="n">
        <v>928000</v>
      </c>
      <c r="G6" s="20" t="n">
        <f aca="false">E6*F6</f>
        <v>928000</v>
      </c>
      <c r="H6" s="21" t="n">
        <v>0.45</v>
      </c>
      <c r="I6" s="20" t="n">
        <f aca="false">ROUND(F6*H6,0)</f>
        <v>417600</v>
      </c>
      <c r="J6" s="20" t="n">
        <f aca="false">E6*I6</f>
        <v>417600</v>
      </c>
      <c r="K6" s="22" t="n">
        <v>24</v>
      </c>
      <c r="L6" s="22" t="n">
        <v>16</v>
      </c>
      <c r="M6" s="22" t="n">
        <v>0</v>
      </c>
      <c r="N6" s="22" t="n">
        <v>0</v>
      </c>
      <c r="O6" s="22" t="n">
        <v>0</v>
      </c>
      <c r="P6" s="22" t="n">
        <v>2</v>
      </c>
      <c r="Q6" s="22" t="n">
        <v>0</v>
      </c>
      <c r="R6" s="17" t="s">
        <v>52</v>
      </c>
    </row>
    <row r="7" customFormat="false" ht="15" hidden="false" customHeight="false" outlineLevel="0" collapsed="false">
      <c r="A7" s="16" t="n">
        <v>5</v>
      </c>
      <c r="B7" s="16" t="s">
        <v>47</v>
      </c>
      <c r="C7" s="17" t="s">
        <v>57</v>
      </c>
      <c r="D7" s="16" t="s">
        <v>54</v>
      </c>
      <c r="E7" s="18" t="n">
        <v>1</v>
      </c>
      <c r="F7" s="19" t="n">
        <v>903000</v>
      </c>
      <c r="G7" s="20" t="n">
        <f aca="false">E7*F7</f>
        <v>903000</v>
      </c>
      <c r="H7" s="21" t="n">
        <v>0.45</v>
      </c>
      <c r="I7" s="20" t="n">
        <f aca="false">ROUND(F7*H7,0)</f>
        <v>406350</v>
      </c>
      <c r="J7" s="20" t="n">
        <f aca="false">E7*I7</f>
        <v>406350</v>
      </c>
      <c r="K7" s="22" t="n">
        <v>24</v>
      </c>
      <c r="L7" s="22" t="n">
        <v>4</v>
      </c>
      <c r="M7" s="22" t="n">
        <v>12</v>
      </c>
      <c r="N7" s="22" t="n">
        <v>0</v>
      </c>
      <c r="O7" s="22" t="n">
        <v>0</v>
      </c>
      <c r="P7" s="22" t="n">
        <v>2</v>
      </c>
      <c r="Q7" s="22" t="n">
        <v>0</v>
      </c>
      <c r="R7" s="17" t="s">
        <v>55</v>
      </c>
    </row>
    <row r="8" customFormat="false" ht="15" hidden="false" customHeight="false" outlineLevel="0" collapsed="false">
      <c r="A8" s="16" t="n">
        <v>6</v>
      </c>
      <c r="B8" s="16" t="s">
        <v>47</v>
      </c>
      <c r="C8" s="17" t="s">
        <v>58</v>
      </c>
      <c r="D8" s="16"/>
      <c r="E8" s="18" t="n">
        <v>1</v>
      </c>
      <c r="F8" s="19" t="n">
        <v>228000</v>
      </c>
      <c r="G8" s="20" t="n">
        <f aca="false">E8*F8</f>
        <v>228000</v>
      </c>
      <c r="H8" s="21" t="n">
        <v>0.4</v>
      </c>
      <c r="I8" s="20" t="n">
        <f aca="false">ROUND(F8*H8,0)</f>
        <v>91200</v>
      </c>
      <c r="J8" s="20" t="n">
        <f aca="false">E8*I8</f>
        <v>91200</v>
      </c>
      <c r="K8" s="22" t="n">
        <v>16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2" t="n">
        <v>0</v>
      </c>
      <c r="R8" s="17" t="s">
        <v>59</v>
      </c>
    </row>
    <row r="9" customFormat="false" ht="15" hidden="false" customHeight="false" outlineLevel="0" collapsed="false">
      <c r="A9" s="16" t="n">
        <v>7</v>
      </c>
      <c r="B9" s="16" t="s">
        <v>47</v>
      </c>
      <c r="C9" s="17" t="s">
        <v>60</v>
      </c>
      <c r="D9" s="16"/>
      <c r="E9" s="18" t="n">
        <v>1</v>
      </c>
      <c r="F9" s="19" t="n">
        <v>202000</v>
      </c>
      <c r="G9" s="20" t="n">
        <f aca="false">E9*F9</f>
        <v>202000</v>
      </c>
      <c r="H9" s="21" t="n">
        <v>0.4</v>
      </c>
      <c r="I9" s="20" t="n">
        <f aca="false">ROUND(F9*H9,0)</f>
        <v>80800</v>
      </c>
      <c r="J9" s="20" t="n">
        <f aca="false">E9*I9</f>
        <v>80800</v>
      </c>
      <c r="K9" s="22" t="n">
        <v>8</v>
      </c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17" t="s">
        <v>61</v>
      </c>
    </row>
    <row r="10" customFormat="false" ht="15" hidden="false" customHeight="false" outlineLevel="0" collapsed="false">
      <c r="A10" s="16" t="n">
        <v>8</v>
      </c>
      <c r="B10" s="16" t="s">
        <v>47</v>
      </c>
      <c r="C10" s="17" t="s">
        <v>62</v>
      </c>
      <c r="D10" s="16"/>
      <c r="E10" s="18" t="n">
        <v>1</v>
      </c>
      <c r="F10" s="19" t="n">
        <v>227000</v>
      </c>
      <c r="G10" s="20" t="n">
        <f aca="false">E10*F10</f>
        <v>227000</v>
      </c>
      <c r="H10" s="21" t="n">
        <v>0.4</v>
      </c>
      <c r="I10" s="20" t="n">
        <f aca="false">ROUND(F10*H10,0)</f>
        <v>90800</v>
      </c>
      <c r="J10" s="20" t="n">
        <f aca="false">E10*I10</f>
        <v>90800</v>
      </c>
      <c r="K10" s="22" t="n">
        <v>0</v>
      </c>
      <c r="L10" s="22" t="n">
        <v>0</v>
      </c>
      <c r="M10" s="22" t="n">
        <v>16</v>
      </c>
      <c r="N10" s="22" t="n">
        <v>0</v>
      </c>
      <c r="O10" s="22" t="n">
        <v>0</v>
      </c>
      <c r="P10" s="22" t="n">
        <v>0</v>
      </c>
      <c r="Q10" s="22" t="n">
        <v>0</v>
      </c>
      <c r="R10" s="17" t="s">
        <v>63</v>
      </c>
    </row>
    <row r="11" customFormat="false" ht="15" hidden="false" customHeight="false" outlineLevel="0" collapsed="false">
      <c r="A11" s="16" t="n">
        <v>9</v>
      </c>
      <c r="B11" s="16" t="s">
        <v>47</v>
      </c>
      <c r="C11" s="17" t="s">
        <v>64</v>
      </c>
      <c r="D11" s="16"/>
      <c r="E11" s="18" t="n">
        <v>1</v>
      </c>
      <c r="F11" s="19" t="n">
        <v>227000</v>
      </c>
      <c r="G11" s="20" t="n">
        <f aca="false">E11*F11</f>
        <v>227000</v>
      </c>
      <c r="H11" s="21" t="n">
        <v>0.4</v>
      </c>
      <c r="I11" s="20" t="n">
        <f aca="false">ROUND(F11*H11,0)</f>
        <v>90800</v>
      </c>
      <c r="J11" s="20" t="n">
        <f aca="false">E11*I11</f>
        <v>90800</v>
      </c>
      <c r="K11" s="22" t="n">
        <v>0</v>
      </c>
      <c r="L11" s="22" t="n">
        <v>16</v>
      </c>
      <c r="M11" s="22" t="n">
        <v>0</v>
      </c>
      <c r="N11" s="22" t="n">
        <v>0</v>
      </c>
      <c r="O11" s="22" t="n">
        <v>0</v>
      </c>
      <c r="P11" s="22" t="n">
        <v>0</v>
      </c>
      <c r="Q11" s="22" t="n">
        <v>0</v>
      </c>
      <c r="R11" s="17" t="s">
        <v>65</v>
      </c>
    </row>
    <row r="12" customFormat="false" ht="15" hidden="false" customHeight="false" outlineLevel="0" collapsed="false">
      <c r="A12" s="16" t="n">
        <v>10</v>
      </c>
      <c r="B12" s="16" t="s">
        <v>47</v>
      </c>
      <c r="C12" s="17" t="s">
        <v>66</v>
      </c>
      <c r="D12" s="16"/>
      <c r="E12" s="18" t="n">
        <v>1</v>
      </c>
      <c r="F12" s="19" t="n">
        <v>213000</v>
      </c>
      <c r="G12" s="20" t="n">
        <f aca="false">E12*F12</f>
        <v>213000</v>
      </c>
      <c r="H12" s="21" t="n">
        <v>0.4</v>
      </c>
      <c r="I12" s="20" t="n">
        <f aca="false">ROUND(F12*H12,0)</f>
        <v>85200</v>
      </c>
      <c r="J12" s="20" t="n">
        <f aca="false">E12*I12</f>
        <v>85200</v>
      </c>
      <c r="K12" s="22" t="n">
        <v>0</v>
      </c>
      <c r="L12" s="22" t="n">
        <v>16</v>
      </c>
      <c r="M12" s="22" t="n">
        <v>0</v>
      </c>
      <c r="N12" s="22" t="n">
        <v>0</v>
      </c>
      <c r="O12" s="22" t="n">
        <v>0</v>
      </c>
      <c r="P12" s="22" t="n">
        <v>0</v>
      </c>
      <c r="Q12" s="22" t="n">
        <v>0</v>
      </c>
      <c r="R12" s="17" t="s">
        <v>67</v>
      </c>
    </row>
    <row r="13" customFormat="false" ht="15" hidden="false" customHeight="false" outlineLevel="0" collapsed="false">
      <c r="A13" s="16" t="n">
        <v>11</v>
      </c>
      <c r="B13" s="16" t="s">
        <v>47</v>
      </c>
      <c r="C13" s="17" t="s">
        <v>68</v>
      </c>
      <c r="D13" s="16"/>
      <c r="E13" s="18" t="n">
        <v>1</v>
      </c>
      <c r="F13" s="19" t="n">
        <v>161000</v>
      </c>
      <c r="G13" s="20" t="n">
        <f aca="false">E13*F13</f>
        <v>161000</v>
      </c>
      <c r="H13" s="21" t="n">
        <v>0.4</v>
      </c>
      <c r="I13" s="20" t="n">
        <f aca="false">ROUND(F13*H13,0)</f>
        <v>64400</v>
      </c>
      <c r="J13" s="20" t="n">
        <f aca="false">E13*I13</f>
        <v>64400</v>
      </c>
      <c r="K13" s="22" t="n">
        <v>0</v>
      </c>
      <c r="L13" s="22" t="n">
        <v>0</v>
      </c>
      <c r="M13" s="22" t="n">
        <v>8</v>
      </c>
      <c r="N13" s="22" t="n">
        <v>0</v>
      </c>
      <c r="O13" s="22" t="n">
        <v>0</v>
      </c>
      <c r="P13" s="22" t="n">
        <v>0</v>
      </c>
      <c r="Q13" s="22" t="n">
        <v>0</v>
      </c>
      <c r="R13" s="17" t="s">
        <v>69</v>
      </c>
    </row>
    <row r="14" customFormat="false" ht="15" hidden="false" customHeight="false" outlineLevel="0" collapsed="false">
      <c r="A14" s="16" t="n">
        <v>12</v>
      </c>
      <c r="B14" s="16" t="s">
        <v>47</v>
      </c>
      <c r="C14" s="17" t="s">
        <v>70</v>
      </c>
      <c r="D14" s="16"/>
      <c r="E14" s="18" t="n">
        <v>1</v>
      </c>
      <c r="F14" s="19" t="n">
        <v>168000</v>
      </c>
      <c r="G14" s="20" t="n">
        <f aca="false">E14*F14</f>
        <v>168000</v>
      </c>
      <c r="H14" s="21" t="n">
        <v>0.4</v>
      </c>
      <c r="I14" s="20" t="n">
        <f aca="false">ROUND(F14*H14,0)</f>
        <v>67200</v>
      </c>
      <c r="J14" s="20" t="n">
        <f aca="false">E14*I14</f>
        <v>67200</v>
      </c>
      <c r="K14" s="22" t="n">
        <v>0</v>
      </c>
      <c r="L14" s="22" t="n">
        <v>8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17" t="s">
        <v>71</v>
      </c>
    </row>
    <row r="15" customFormat="false" ht="15" hidden="false" customHeight="false" outlineLevel="0" collapsed="false">
      <c r="A15" s="16" t="n">
        <v>13</v>
      </c>
      <c r="B15" s="16" t="s">
        <v>47</v>
      </c>
      <c r="C15" s="17" t="s">
        <v>72</v>
      </c>
      <c r="D15" s="16"/>
      <c r="E15" s="18" t="n">
        <v>1</v>
      </c>
      <c r="F15" s="19" t="n">
        <v>168000</v>
      </c>
      <c r="G15" s="20" t="n">
        <f aca="false">E15*F15</f>
        <v>168000</v>
      </c>
      <c r="H15" s="21" t="n">
        <v>0.4</v>
      </c>
      <c r="I15" s="20" t="n">
        <f aca="false">ROUND(F15*H15,0)</f>
        <v>67200</v>
      </c>
      <c r="J15" s="20" t="n">
        <f aca="false">E15*I15</f>
        <v>67200</v>
      </c>
      <c r="K15" s="22" t="n">
        <v>0</v>
      </c>
      <c r="L15" s="22" t="n">
        <v>8</v>
      </c>
      <c r="M15" s="22" t="n">
        <v>0</v>
      </c>
      <c r="N15" s="22" t="n">
        <v>0</v>
      </c>
      <c r="O15" s="22" t="n">
        <v>0</v>
      </c>
      <c r="P15" s="22" t="n">
        <v>0</v>
      </c>
      <c r="Q15" s="22" t="n">
        <v>0</v>
      </c>
      <c r="R15" s="17" t="s">
        <v>73</v>
      </c>
    </row>
    <row r="16" customFormat="false" ht="15" hidden="false" customHeight="false" outlineLevel="0" collapsed="false">
      <c r="A16" s="16" t="n">
        <v>14</v>
      </c>
      <c r="B16" s="16" t="s">
        <v>47</v>
      </c>
      <c r="C16" s="17" t="s">
        <v>74</v>
      </c>
      <c r="D16" s="16"/>
      <c r="E16" s="18" t="n">
        <v>1</v>
      </c>
      <c r="F16" s="19" t="n">
        <v>311000</v>
      </c>
      <c r="G16" s="20" t="n">
        <f aca="false">E16*F16</f>
        <v>311000</v>
      </c>
      <c r="H16" s="21" t="n">
        <v>0.4</v>
      </c>
      <c r="I16" s="20" t="n">
        <f aca="false">ROUND(F16*H16,0)</f>
        <v>124400</v>
      </c>
      <c r="J16" s="20" t="n">
        <f aca="false">E16*I16</f>
        <v>124400</v>
      </c>
      <c r="K16" s="22" t="n">
        <v>0</v>
      </c>
      <c r="L16" s="22" t="n">
        <v>0</v>
      </c>
      <c r="M16" s="22" t="n">
        <v>0</v>
      </c>
      <c r="N16" s="22" t="n">
        <v>2</v>
      </c>
      <c r="O16" s="22" t="n">
        <v>0</v>
      </c>
      <c r="P16" s="22" t="n">
        <v>0</v>
      </c>
      <c r="Q16" s="22" t="n">
        <v>0</v>
      </c>
      <c r="R16" s="17" t="s">
        <v>75</v>
      </c>
    </row>
    <row r="17" customFormat="false" ht="15" hidden="false" customHeight="false" outlineLevel="0" collapsed="false">
      <c r="A17" s="16" t="n">
        <v>15</v>
      </c>
      <c r="B17" s="16" t="s">
        <v>47</v>
      </c>
      <c r="C17" s="17" t="s">
        <v>76</v>
      </c>
      <c r="D17" s="16"/>
      <c r="E17" s="18" t="n">
        <v>1</v>
      </c>
      <c r="F17" s="19" t="n">
        <v>284000</v>
      </c>
      <c r="G17" s="20" t="n">
        <f aca="false">E17*F17</f>
        <v>284000</v>
      </c>
      <c r="H17" s="21" t="n">
        <v>0.4</v>
      </c>
      <c r="I17" s="20" t="n">
        <f aca="false">ROUND(F17*H17,0)</f>
        <v>113600</v>
      </c>
      <c r="J17" s="20" t="n">
        <f aca="false">E17*I17</f>
        <v>113600</v>
      </c>
      <c r="K17" s="22" t="n">
        <v>0</v>
      </c>
      <c r="L17" s="22" t="n">
        <v>0</v>
      </c>
      <c r="M17" s="22" t="n">
        <v>0</v>
      </c>
      <c r="N17" s="22" t="n">
        <v>4</v>
      </c>
      <c r="O17" s="22" t="n">
        <v>0</v>
      </c>
      <c r="P17" s="22" t="n">
        <v>0</v>
      </c>
      <c r="Q17" s="22" t="n">
        <v>0</v>
      </c>
      <c r="R17" s="17" t="s">
        <v>77</v>
      </c>
    </row>
    <row r="18" customFormat="false" ht="15" hidden="false" customHeight="false" outlineLevel="0" collapsed="false">
      <c r="A18" s="16" t="n">
        <v>16</v>
      </c>
      <c r="B18" s="16" t="s">
        <v>47</v>
      </c>
      <c r="C18" s="17" t="s">
        <v>78</v>
      </c>
      <c r="D18" s="16"/>
      <c r="E18" s="18" t="n">
        <v>1</v>
      </c>
      <c r="F18" s="19" t="n">
        <v>331000</v>
      </c>
      <c r="G18" s="20" t="n">
        <f aca="false">E18*F18</f>
        <v>331000</v>
      </c>
      <c r="H18" s="21" t="n">
        <v>0.4</v>
      </c>
      <c r="I18" s="20" t="n">
        <f aca="false">ROUND(F18*H18,0)</f>
        <v>132400</v>
      </c>
      <c r="J18" s="20" t="n">
        <f aca="false">E18*I18</f>
        <v>132400</v>
      </c>
      <c r="K18" s="22" t="n">
        <v>0</v>
      </c>
      <c r="L18" s="22" t="n">
        <v>0</v>
      </c>
      <c r="M18" s="22" t="n">
        <v>0</v>
      </c>
      <c r="N18" s="22" t="n">
        <v>8</v>
      </c>
      <c r="O18" s="22" t="n">
        <v>0</v>
      </c>
      <c r="P18" s="22" t="n">
        <v>0</v>
      </c>
      <c r="Q18" s="22" t="n">
        <v>0</v>
      </c>
      <c r="R18" s="17" t="s">
        <v>79</v>
      </c>
    </row>
    <row r="19" customFormat="false" ht="15" hidden="false" customHeight="false" outlineLevel="0" collapsed="false">
      <c r="A19" s="16" t="n">
        <v>17</v>
      </c>
      <c r="B19" s="16" t="s">
        <v>47</v>
      </c>
      <c r="C19" s="17" t="s">
        <v>80</v>
      </c>
      <c r="D19" s="16"/>
      <c r="E19" s="18" t="n">
        <v>1</v>
      </c>
      <c r="F19" s="19" t="n">
        <v>346000</v>
      </c>
      <c r="G19" s="20" t="n">
        <f aca="false">E19*F19</f>
        <v>346000</v>
      </c>
      <c r="H19" s="21" t="n">
        <v>0.4</v>
      </c>
      <c r="I19" s="20" t="n">
        <f aca="false">ROUND(F19*H19,0)</f>
        <v>138400</v>
      </c>
      <c r="J19" s="20" t="n">
        <f aca="false">E19*I19</f>
        <v>138400</v>
      </c>
      <c r="K19" s="22" t="n">
        <v>0</v>
      </c>
      <c r="L19" s="22" t="n">
        <v>0</v>
      </c>
      <c r="M19" s="22" t="n">
        <v>0</v>
      </c>
      <c r="N19" s="22" t="n">
        <v>0</v>
      </c>
      <c r="O19" s="22" t="n">
        <v>2</v>
      </c>
      <c r="P19" s="22" t="n">
        <v>0</v>
      </c>
      <c r="Q19" s="22" t="n">
        <v>0</v>
      </c>
      <c r="R19" s="17" t="s">
        <v>81</v>
      </c>
    </row>
    <row r="20" customFormat="false" ht="15" hidden="false" customHeight="false" outlineLevel="0" collapsed="false">
      <c r="A20" s="16" t="n">
        <v>18</v>
      </c>
      <c r="B20" s="16" t="s">
        <v>47</v>
      </c>
      <c r="C20" s="17" t="s">
        <v>82</v>
      </c>
      <c r="D20" s="16"/>
      <c r="E20" s="18" t="n">
        <v>1</v>
      </c>
      <c r="F20" s="19" t="n">
        <v>351000</v>
      </c>
      <c r="G20" s="20" t="n">
        <f aca="false">E20*F20</f>
        <v>351000</v>
      </c>
      <c r="H20" s="21" t="n">
        <v>0.4</v>
      </c>
      <c r="I20" s="20" t="n">
        <f aca="false">ROUND(F20*H20,0)</f>
        <v>140400</v>
      </c>
      <c r="J20" s="20" t="n">
        <f aca="false">E20*I20</f>
        <v>140400</v>
      </c>
      <c r="K20" s="22" t="n">
        <v>0</v>
      </c>
      <c r="L20" s="22" t="n">
        <v>0</v>
      </c>
      <c r="M20" s="22" t="n">
        <v>0</v>
      </c>
      <c r="N20" s="22" t="n">
        <v>0</v>
      </c>
      <c r="O20" s="22" t="n">
        <v>4</v>
      </c>
      <c r="P20" s="22" t="n">
        <v>0</v>
      </c>
      <c r="Q20" s="22" t="n">
        <v>0</v>
      </c>
      <c r="R20" s="17" t="s">
        <v>83</v>
      </c>
    </row>
    <row r="21" customFormat="false" ht="15" hidden="false" customHeight="false" outlineLevel="0" collapsed="false">
      <c r="A21" s="23" t="s">
        <v>84</v>
      </c>
      <c r="B21" s="23"/>
      <c r="C21" s="23"/>
      <c r="D21" s="23"/>
      <c r="E21" s="9" t="n">
        <f aca="false">SUM(E3:E20)</f>
        <v>18</v>
      </c>
      <c r="F21" s="24"/>
      <c r="G21" s="10" t="n">
        <f aca="false">SUM(G3:G20)</f>
        <v>7662000</v>
      </c>
      <c r="H21" s="25" t="n">
        <f aca="false">IFERROR(J21/G21,0)</f>
        <v>0.429006786739755</v>
      </c>
      <c r="I21" s="24"/>
      <c r="J21" s="10" t="n">
        <f aca="false">SUM(J3:J20)</f>
        <v>3287050</v>
      </c>
    </row>
    <row r="23" customFormat="false" ht="42" hidden="false" customHeight="true" outlineLevel="0" collapsed="false">
      <c r="A23" s="26" t="s">
        <v>85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</row>
  </sheetData>
  <mergeCells count="10">
    <mergeCell ref="A1:A2"/>
    <mergeCell ref="B1:B2"/>
    <mergeCell ref="C1:C2"/>
    <mergeCell ref="D1:D2"/>
    <mergeCell ref="E1:E2"/>
    <mergeCell ref="F1:G1"/>
    <mergeCell ref="H1:J1"/>
    <mergeCell ref="K1:R1"/>
    <mergeCell ref="A21:D21"/>
    <mergeCell ref="A23:R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6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8"/>
    <col collapsed="false" customWidth="true" hidden="false" outlineLevel="0" max="12" min="12" style="0" width="6"/>
    <col collapsed="false" customWidth="true" hidden="false" outlineLevel="0" max="13" min="13" style="0" width="7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22"/>
    <col collapsed="false" customWidth="true" hidden="false" outlineLevel="0" max="17" min="17" style="0" width="10"/>
  </cols>
  <sheetData>
    <row r="1" customFormat="false" ht="17.15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0" hidden="false" customHeight="true" outlineLevel="0" collapsed="false">
      <c r="A2" s="27" t="s">
        <v>87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4" customFormat="false" ht="30" hidden="false" customHeight="true" outlineLevel="0" collapsed="false">
      <c r="A4" s="2" t="s">
        <v>1</v>
      </c>
      <c r="B4" s="2" t="s">
        <v>88</v>
      </c>
      <c r="C4" s="15" t="s">
        <v>30</v>
      </c>
      <c r="D4" s="2" t="s">
        <v>89</v>
      </c>
      <c r="E4" s="15" t="s">
        <v>32</v>
      </c>
      <c r="F4" s="2" t="s">
        <v>90</v>
      </c>
      <c r="G4" s="2" t="s">
        <v>91</v>
      </c>
      <c r="H4" s="15" t="s">
        <v>39</v>
      </c>
      <c r="I4" s="15" t="s">
        <v>40</v>
      </c>
      <c r="J4" s="15" t="s">
        <v>41</v>
      </c>
      <c r="K4" s="15" t="s">
        <v>92</v>
      </c>
      <c r="L4" s="15" t="s">
        <v>43</v>
      </c>
      <c r="M4" s="15" t="s">
        <v>44</v>
      </c>
      <c r="N4" s="15" t="s">
        <v>45</v>
      </c>
      <c r="O4" s="15" t="s">
        <v>93</v>
      </c>
      <c r="P4" s="2" t="s">
        <v>94</v>
      </c>
      <c r="Q4" s="2" t="s">
        <v>95</v>
      </c>
    </row>
    <row r="5" customFormat="false" ht="14.9" hidden="false" customHeight="false" outlineLevel="0" collapsed="false">
      <c r="A5" s="28" t="s">
        <v>96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</row>
    <row r="6" customFormat="false" ht="15" hidden="false" customHeight="false" outlineLevel="0" collapsed="false">
      <c r="A6" s="29" t="s">
        <v>10</v>
      </c>
      <c r="B6" s="30" t="s">
        <v>97</v>
      </c>
      <c r="C6" s="30"/>
      <c r="D6" s="31" t="s">
        <v>98</v>
      </c>
      <c r="E6" s="30"/>
      <c r="F6" s="30"/>
      <c r="G6" s="30"/>
      <c r="H6" s="30" t="n">
        <v>4</v>
      </c>
      <c r="I6" s="30"/>
      <c r="J6" s="30"/>
      <c r="K6" s="30" t="n">
        <v>7</v>
      </c>
      <c r="L6" s="30" t="n">
        <v>0</v>
      </c>
      <c r="M6" s="30" t="n">
        <v>2</v>
      </c>
      <c r="N6" s="30" t="n">
        <v>0</v>
      </c>
      <c r="O6" s="30"/>
      <c r="P6" s="30"/>
      <c r="Q6" s="30"/>
    </row>
    <row r="7" customFormat="false" ht="15" hidden="false" customHeight="false" outlineLevel="0" collapsed="false">
      <c r="A7" s="16" t="s">
        <v>10</v>
      </c>
      <c r="B7" s="16" t="s">
        <v>99</v>
      </c>
      <c r="C7" s="32" t="s">
        <v>51</v>
      </c>
      <c r="D7" s="32" t="s">
        <v>100</v>
      </c>
      <c r="E7" s="33" t="n">
        <v>1</v>
      </c>
      <c r="F7" s="20" t="n">
        <f aca="false">INDEX('Price List'!$I$3:$I$20,MATCH($C7,'Price List'!$C$3:$C$20,0))</f>
        <v>392850</v>
      </c>
      <c r="G7" s="20" t="n">
        <f aca="false">E7*F7</f>
        <v>392850</v>
      </c>
      <c r="H7" s="34" t="n">
        <f aca="false">E7*INDEX('Price List'!$K$3:$K$20,MATCH($C7,'Price List'!$C$3:$C$20,0))</f>
        <v>14</v>
      </c>
      <c r="I7" s="34" t="n">
        <f aca="false">E7*INDEX('Price List'!$L$3:$L$20,MATCH($C7,'Price List'!$C$3:$C$20,0))</f>
        <v>10</v>
      </c>
      <c r="J7" s="34" t="n">
        <f aca="false">E7*INDEX('Price List'!$M$3:$M$20,MATCH($C7,'Price List'!$C$3:$C$20,0))</f>
        <v>0</v>
      </c>
      <c r="K7" s="34" t="n">
        <f aca="false">I7+J7</f>
        <v>10</v>
      </c>
      <c r="L7" s="34" t="n">
        <f aca="false">E7*INDEX('Price List'!$O$3:$O$20,MATCH($C7,'Price List'!$C$3:$C$20,0))</f>
        <v>0</v>
      </c>
      <c r="M7" s="34" t="n">
        <f aca="false">E7*INDEX('Price List'!$P$3:$P$20,MATCH($C7,'Price List'!$C$3:$C$20,0))</f>
        <v>2</v>
      </c>
      <c r="N7" s="34" t="n">
        <f aca="false">E7*INDEX('Price List'!$Q$3:$Q$20,MATCH($C7,'Price List'!$C$3:$C$20,0))</f>
        <v>0</v>
      </c>
      <c r="O7" s="34" t="n">
        <f aca="false">IF(LEFT(C7,3)="TM3",E7,0)</f>
        <v>0</v>
      </c>
      <c r="P7" s="32"/>
      <c r="Q7" s="35" t="n">
        <f aca="false">E7*INDEX(요약!$C$4:$C$7,MATCH($A7,요약!$A$4:$A$7,0))</f>
        <v>200</v>
      </c>
    </row>
    <row r="8" customFormat="false" ht="15" hidden="false" customHeight="false" outlineLevel="0" collapsed="false">
      <c r="A8" s="16" t="s">
        <v>10</v>
      </c>
      <c r="B8" s="16" t="s">
        <v>99</v>
      </c>
      <c r="C8" s="32" t="s">
        <v>68</v>
      </c>
      <c r="D8" s="32" t="s">
        <v>101</v>
      </c>
      <c r="E8" s="33" t="n">
        <v>1</v>
      </c>
      <c r="F8" s="20" t="n">
        <f aca="false">INDEX('Price List'!$I$3:$I$20,MATCH($C8,'Price List'!$C$3:$C$20,0))</f>
        <v>64400</v>
      </c>
      <c r="G8" s="20" t="n">
        <f aca="false">E8*F8</f>
        <v>64400</v>
      </c>
      <c r="H8" s="34" t="n">
        <f aca="false">E8*INDEX('Price List'!$K$3:$K$20,MATCH($C8,'Price List'!$C$3:$C$20,0))</f>
        <v>0</v>
      </c>
      <c r="I8" s="34" t="n">
        <f aca="false">E8*INDEX('Price List'!$L$3:$L$20,MATCH($C8,'Price List'!$C$3:$C$20,0))</f>
        <v>0</v>
      </c>
      <c r="J8" s="34" t="n">
        <f aca="false">E8*INDEX('Price List'!$M$3:$M$20,MATCH($C8,'Price List'!$C$3:$C$20,0))</f>
        <v>8</v>
      </c>
      <c r="K8" s="34" t="n">
        <f aca="false">I8+J8</f>
        <v>8</v>
      </c>
      <c r="L8" s="34" t="n">
        <f aca="false">E8*INDEX('Price List'!$O$3:$O$20,MATCH($C8,'Price List'!$C$3:$C$20,0))</f>
        <v>0</v>
      </c>
      <c r="M8" s="34" t="n">
        <f aca="false">E8*INDEX('Price List'!$P$3:$P$20,MATCH($C8,'Price List'!$C$3:$C$20,0))</f>
        <v>0</v>
      </c>
      <c r="N8" s="34" t="n">
        <f aca="false">E8*INDEX('Price List'!$Q$3:$Q$20,MATCH($C8,'Price List'!$C$3:$C$20,0))</f>
        <v>0</v>
      </c>
      <c r="O8" s="34" t="n">
        <f aca="false">IF(LEFT(C8,3)="TM3",E8,0)</f>
        <v>1</v>
      </c>
      <c r="P8" s="32"/>
      <c r="Q8" s="35" t="n">
        <f aca="false">E8*INDEX(요약!$C$4:$C$7,MATCH($A8,요약!$A$4:$A$7,0))</f>
        <v>200</v>
      </c>
    </row>
    <row r="9" customFormat="false" ht="15" hidden="false" customHeight="false" outlineLevel="0" collapsed="false">
      <c r="A9" s="9" t="s">
        <v>10</v>
      </c>
      <c r="B9" s="9" t="s">
        <v>99</v>
      </c>
      <c r="C9" s="36" t="s">
        <v>102</v>
      </c>
      <c r="D9" s="36" t="s">
        <v>103</v>
      </c>
      <c r="E9" s="36"/>
      <c r="F9" s="36"/>
      <c r="G9" s="10" t="n">
        <f aca="false">SUM(G7:G8)</f>
        <v>457250</v>
      </c>
      <c r="H9" s="37" t="n">
        <f aca="false">SUM(H7:H8)</f>
        <v>14</v>
      </c>
      <c r="I9" s="37" t="n">
        <f aca="false">SUM(I7:I8)</f>
        <v>10</v>
      </c>
      <c r="J9" s="37" t="n">
        <f aca="false">SUM(J7:J8)</f>
        <v>8</v>
      </c>
      <c r="K9" s="37" t="n">
        <f aca="false">SUM(K7:K8)</f>
        <v>18</v>
      </c>
      <c r="L9" s="37" t="n">
        <f aca="false">SUM(L7:L8)</f>
        <v>0</v>
      </c>
      <c r="M9" s="37" t="n">
        <f aca="false">SUM(M7:M8)</f>
        <v>2</v>
      </c>
      <c r="N9" s="37" t="n">
        <f aca="false">SUM(N7:N8)</f>
        <v>0</v>
      </c>
      <c r="O9" s="37" t="n">
        <f aca="false">SUM(O7:O8)</f>
        <v>1</v>
      </c>
      <c r="P9" s="9" t="str">
        <f aca="false">IF(AND(H9&gt;=H6,K9&gt;=K6,J9&gt;=K6,L9&gt;=L6,M9&gt;=M6,N9&gt;=N6),IF(O9&gt;7,"OK (TM3 버스확장 필요)","OK"),"사양 미달")</f>
        <v>OK</v>
      </c>
      <c r="Q9" s="36"/>
    </row>
    <row r="10" customFormat="false" ht="15" hidden="false" customHeight="false" outlineLevel="0" collapsed="false">
      <c r="A10" s="16" t="s">
        <v>10</v>
      </c>
      <c r="B10" s="16" t="s">
        <v>104</v>
      </c>
      <c r="C10" s="32" t="s">
        <v>51</v>
      </c>
      <c r="D10" s="32" t="s">
        <v>105</v>
      </c>
      <c r="E10" s="33" t="n">
        <v>1</v>
      </c>
      <c r="F10" s="20" t="n">
        <f aca="false">INDEX('Price List'!$I$3:$I$20,MATCH($C10,'Price List'!$C$3:$C$20,0))</f>
        <v>392850</v>
      </c>
      <c r="G10" s="20" t="n">
        <f aca="false">E10*F10</f>
        <v>392850</v>
      </c>
      <c r="H10" s="34" t="n">
        <f aca="false">E10*INDEX('Price List'!$K$3:$K$20,MATCH($C10,'Price List'!$C$3:$C$20,0))</f>
        <v>14</v>
      </c>
      <c r="I10" s="34" t="n">
        <f aca="false">E10*INDEX('Price List'!$L$3:$L$20,MATCH($C10,'Price List'!$C$3:$C$20,0))</f>
        <v>10</v>
      </c>
      <c r="J10" s="34" t="n">
        <f aca="false">E10*INDEX('Price List'!$M$3:$M$20,MATCH($C10,'Price List'!$C$3:$C$20,0))</f>
        <v>0</v>
      </c>
      <c r="K10" s="34" t="n">
        <f aca="false">I10+J10</f>
        <v>10</v>
      </c>
      <c r="L10" s="34" t="n">
        <f aca="false">E10*INDEX('Price List'!$O$3:$O$20,MATCH($C10,'Price List'!$C$3:$C$20,0))</f>
        <v>0</v>
      </c>
      <c r="M10" s="34" t="n">
        <f aca="false">E10*INDEX('Price List'!$P$3:$P$20,MATCH($C10,'Price List'!$C$3:$C$20,0))</f>
        <v>2</v>
      </c>
      <c r="N10" s="34" t="n">
        <f aca="false">E10*INDEX('Price List'!$Q$3:$Q$20,MATCH($C10,'Price List'!$C$3:$C$20,0))</f>
        <v>0</v>
      </c>
      <c r="O10" s="34" t="n">
        <f aca="false">IF(LEFT(C10,3)="TM3",E10,0)</f>
        <v>0</v>
      </c>
      <c r="P10" s="32"/>
      <c r="Q10" s="35" t="n">
        <f aca="false">E10*INDEX(요약!$C$4:$C$7,MATCH($A10,요약!$A$4:$A$7,0))</f>
        <v>200</v>
      </c>
    </row>
    <row r="11" customFormat="false" ht="15" hidden="false" customHeight="false" outlineLevel="0" collapsed="false">
      <c r="A11" s="9" t="s">
        <v>10</v>
      </c>
      <c r="B11" s="9" t="s">
        <v>104</v>
      </c>
      <c r="C11" s="36" t="s">
        <v>102</v>
      </c>
      <c r="D11" s="36" t="s">
        <v>106</v>
      </c>
      <c r="E11" s="36"/>
      <c r="F11" s="36"/>
      <c r="G11" s="10" t="n">
        <f aca="false">SUM(G10:G10)</f>
        <v>392850</v>
      </c>
      <c r="H11" s="37" t="n">
        <f aca="false">SUM(H10:H10)</f>
        <v>14</v>
      </c>
      <c r="I11" s="37" t="n">
        <f aca="false">SUM(I10:I10)</f>
        <v>10</v>
      </c>
      <c r="J11" s="37" t="n">
        <f aca="false">SUM(J10:J10)</f>
        <v>0</v>
      </c>
      <c r="K11" s="37" t="n">
        <f aca="false">SUM(K10:K10)</f>
        <v>10</v>
      </c>
      <c r="L11" s="37" t="n">
        <f aca="false">SUM(L10:L10)</f>
        <v>0</v>
      </c>
      <c r="M11" s="37" t="n">
        <f aca="false">SUM(M10:M10)</f>
        <v>2</v>
      </c>
      <c r="N11" s="37" t="n">
        <f aca="false">SUM(N10:N10)</f>
        <v>0</v>
      </c>
      <c r="O11" s="37" t="n">
        <f aca="false">SUM(O10:O10)</f>
        <v>0</v>
      </c>
      <c r="P11" s="9" t="str">
        <f aca="false">IF(AND(H11&gt;=H6,K11&gt;=K6,TRUE(),L11&gt;=L6,M11&gt;=M6,N11&gt;=N6),IF(O11&gt;7,"OK (TM3 버스확장 필요)","OK"),"사양 미달")</f>
        <v>OK</v>
      </c>
      <c r="Q11" s="36"/>
    </row>
    <row r="12" customFormat="false" ht="15" hidden="false" customHeight="false" outlineLevel="0" collapsed="false">
      <c r="A12" s="16" t="s">
        <v>10</v>
      </c>
      <c r="B12" s="16" t="s">
        <v>107</v>
      </c>
      <c r="C12" s="32" t="s">
        <v>53</v>
      </c>
      <c r="D12" s="32" t="s">
        <v>108</v>
      </c>
      <c r="E12" s="33" t="n">
        <v>1</v>
      </c>
      <c r="F12" s="20" t="n">
        <f aca="false">INDEX('Price List'!$I$3:$I$20,MATCH($C12,'Price List'!$C$3:$C$20,0))</f>
        <v>384750</v>
      </c>
      <c r="G12" s="20" t="n">
        <f aca="false">E12*F12</f>
        <v>384750</v>
      </c>
      <c r="H12" s="34" t="n">
        <f aca="false">E12*INDEX('Price List'!$K$3:$K$20,MATCH($C12,'Price List'!$C$3:$C$20,0))</f>
        <v>14</v>
      </c>
      <c r="I12" s="34" t="n">
        <f aca="false">E12*INDEX('Price List'!$L$3:$L$20,MATCH($C12,'Price List'!$C$3:$C$20,0))</f>
        <v>4</v>
      </c>
      <c r="J12" s="34" t="n">
        <f aca="false">E12*INDEX('Price List'!$M$3:$M$20,MATCH($C12,'Price List'!$C$3:$C$20,0))</f>
        <v>6</v>
      </c>
      <c r="K12" s="34" t="n">
        <f aca="false">I12+J12</f>
        <v>10</v>
      </c>
      <c r="L12" s="34" t="n">
        <f aca="false">E12*INDEX('Price List'!$O$3:$O$20,MATCH($C12,'Price List'!$C$3:$C$20,0))</f>
        <v>0</v>
      </c>
      <c r="M12" s="34" t="n">
        <f aca="false">E12*INDEX('Price List'!$P$3:$P$20,MATCH($C12,'Price List'!$C$3:$C$20,0))</f>
        <v>2</v>
      </c>
      <c r="N12" s="34" t="n">
        <f aca="false">E12*INDEX('Price List'!$Q$3:$Q$20,MATCH($C12,'Price List'!$C$3:$C$20,0))</f>
        <v>0</v>
      </c>
      <c r="O12" s="34" t="n">
        <f aca="false">IF(LEFT(C12,3)="TM3",E12,0)</f>
        <v>0</v>
      </c>
      <c r="P12" s="32"/>
      <c r="Q12" s="35" t="n">
        <f aca="false">E12*INDEX(요약!$C$4:$C$7,MATCH($A12,요약!$A$4:$A$7,0))</f>
        <v>200</v>
      </c>
    </row>
    <row r="13" customFormat="false" ht="15" hidden="false" customHeight="false" outlineLevel="0" collapsed="false">
      <c r="A13" s="9" t="s">
        <v>10</v>
      </c>
      <c r="B13" s="9" t="s">
        <v>107</v>
      </c>
      <c r="C13" s="36" t="s">
        <v>102</v>
      </c>
      <c r="D13" s="36" t="s">
        <v>109</v>
      </c>
      <c r="E13" s="36"/>
      <c r="F13" s="36"/>
      <c r="G13" s="10" t="n">
        <f aca="false">SUM(G12:G12)</f>
        <v>384750</v>
      </c>
      <c r="H13" s="37" t="n">
        <f aca="false">SUM(H12:H12)</f>
        <v>14</v>
      </c>
      <c r="I13" s="37" t="n">
        <f aca="false">SUM(I12:I12)</f>
        <v>4</v>
      </c>
      <c r="J13" s="37" t="n">
        <f aca="false">SUM(J12:J12)</f>
        <v>6</v>
      </c>
      <c r="K13" s="37" t="n">
        <f aca="false">SUM(K12:K12)</f>
        <v>10</v>
      </c>
      <c r="L13" s="37" t="n">
        <f aca="false">SUM(L12:L12)</f>
        <v>0</v>
      </c>
      <c r="M13" s="37" t="n">
        <f aca="false">SUM(M12:M12)</f>
        <v>2</v>
      </c>
      <c r="N13" s="37" t="n">
        <f aca="false">SUM(N12:N12)</f>
        <v>0</v>
      </c>
      <c r="O13" s="37" t="n">
        <f aca="false">SUM(O12:O12)</f>
        <v>0</v>
      </c>
      <c r="P13" s="9" t="str">
        <f aca="false">IF(AND(H13&gt;=H6,K13&gt;=K6,TRUE(),L13&gt;=L6,M13&gt;=M6,N13&gt;=N6),IF(O13&gt;7,"OK (TM3 버스확장 필요)","OK"),"사양 미달")</f>
        <v>OK</v>
      </c>
      <c r="Q13" s="36"/>
    </row>
    <row r="15" customFormat="false" ht="14.9" hidden="false" customHeight="false" outlineLevel="0" collapsed="false">
      <c r="A15" s="28" t="s">
        <v>110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</row>
    <row r="16" customFormat="false" ht="15" hidden="false" customHeight="false" outlineLevel="0" collapsed="false">
      <c r="A16" s="29" t="s">
        <v>12</v>
      </c>
      <c r="B16" s="30" t="s">
        <v>97</v>
      </c>
      <c r="C16" s="30"/>
      <c r="D16" s="31" t="s">
        <v>98</v>
      </c>
      <c r="E16" s="30"/>
      <c r="F16" s="30"/>
      <c r="G16" s="30"/>
      <c r="H16" s="30" t="n">
        <v>7</v>
      </c>
      <c r="I16" s="30"/>
      <c r="J16" s="30"/>
      <c r="K16" s="30" t="n">
        <v>14</v>
      </c>
      <c r="L16" s="30" t="n">
        <v>2</v>
      </c>
      <c r="M16" s="30" t="n">
        <v>2</v>
      </c>
      <c r="N16" s="30" t="n">
        <v>0</v>
      </c>
      <c r="O16" s="30"/>
      <c r="P16" s="30"/>
      <c r="Q16" s="30"/>
    </row>
    <row r="17" customFormat="false" ht="15" hidden="false" customHeight="false" outlineLevel="0" collapsed="false">
      <c r="A17" s="16" t="s">
        <v>12</v>
      </c>
      <c r="B17" s="16" t="s">
        <v>99</v>
      </c>
      <c r="C17" s="32" t="s">
        <v>51</v>
      </c>
      <c r="D17" s="32" t="s">
        <v>100</v>
      </c>
      <c r="E17" s="33" t="n">
        <v>1</v>
      </c>
      <c r="F17" s="20" t="n">
        <f aca="false">INDEX('Price List'!$I$3:$I$20,MATCH($C17,'Price List'!$C$3:$C$20,0))</f>
        <v>392850</v>
      </c>
      <c r="G17" s="20" t="n">
        <f aca="false">E17*F17</f>
        <v>392850</v>
      </c>
      <c r="H17" s="34" t="n">
        <f aca="false">E17*INDEX('Price List'!$K$3:$K$20,MATCH($C17,'Price List'!$C$3:$C$20,0))</f>
        <v>14</v>
      </c>
      <c r="I17" s="34" t="n">
        <f aca="false">E17*INDEX('Price List'!$L$3:$L$20,MATCH($C17,'Price List'!$C$3:$C$20,0))</f>
        <v>10</v>
      </c>
      <c r="J17" s="34" t="n">
        <f aca="false">E17*INDEX('Price List'!$M$3:$M$20,MATCH($C17,'Price List'!$C$3:$C$20,0))</f>
        <v>0</v>
      </c>
      <c r="K17" s="34" t="n">
        <f aca="false">I17+J17</f>
        <v>10</v>
      </c>
      <c r="L17" s="34" t="n">
        <f aca="false">E17*INDEX('Price List'!$O$3:$O$20,MATCH($C17,'Price List'!$C$3:$C$20,0))</f>
        <v>0</v>
      </c>
      <c r="M17" s="34" t="n">
        <f aca="false">E17*INDEX('Price List'!$P$3:$P$20,MATCH($C17,'Price List'!$C$3:$C$20,0))</f>
        <v>2</v>
      </c>
      <c r="N17" s="34" t="n">
        <f aca="false">E17*INDEX('Price List'!$Q$3:$Q$20,MATCH($C17,'Price List'!$C$3:$C$20,0))</f>
        <v>0</v>
      </c>
      <c r="O17" s="34" t="n">
        <f aca="false">IF(LEFT(C17,3)="TM3",E17,0)</f>
        <v>0</v>
      </c>
      <c r="P17" s="32"/>
      <c r="Q17" s="35" t="n">
        <f aca="false">E17*INDEX(요약!$C$4:$C$7,MATCH($A17,요약!$A$4:$A$7,0))</f>
        <v>300</v>
      </c>
    </row>
    <row r="18" customFormat="false" ht="15" hidden="false" customHeight="false" outlineLevel="0" collapsed="false">
      <c r="A18" s="16" t="s">
        <v>12</v>
      </c>
      <c r="B18" s="16" t="s">
        <v>99</v>
      </c>
      <c r="C18" s="32" t="s">
        <v>62</v>
      </c>
      <c r="D18" s="32" t="s">
        <v>111</v>
      </c>
      <c r="E18" s="33" t="n">
        <v>1</v>
      </c>
      <c r="F18" s="20" t="n">
        <f aca="false">INDEX('Price List'!$I$3:$I$20,MATCH($C18,'Price List'!$C$3:$C$20,0))</f>
        <v>90800</v>
      </c>
      <c r="G18" s="20" t="n">
        <f aca="false">E18*F18</f>
        <v>90800</v>
      </c>
      <c r="H18" s="34" t="n">
        <f aca="false">E18*INDEX('Price List'!$K$3:$K$20,MATCH($C18,'Price List'!$C$3:$C$20,0))</f>
        <v>0</v>
      </c>
      <c r="I18" s="34" t="n">
        <f aca="false">E18*INDEX('Price List'!$L$3:$L$20,MATCH($C18,'Price List'!$C$3:$C$20,0))</f>
        <v>0</v>
      </c>
      <c r="J18" s="34" t="n">
        <f aca="false">E18*INDEX('Price List'!$M$3:$M$20,MATCH($C18,'Price List'!$C$3:$C$20,0))</f>
        <v>16</v>
      </c>
      <c r="K18" s="34" t="n">
        <f aca="false">I18+J18</f>
        <v>16</v>
      </c>
      <c r="L18" s="34" t="n">
        <f aca="false">E18*INDEX('Price List'!$O$3:$O$20,MATCH($C18,'Price List'!$C$3:$C$20,0))</f>
        <v>0</v>
      </c>
      <c r="M18" s="34" t="n">
        <f aca="false">E18*INDEX('Price List'!$P$3:$P$20,MATCH($C18,'Price List'!$C$3:$C$20,0))</f>
        <v>0</v>
      </c>
      <c r="N18" s="34" t="n">
        <f aca="false">E18*INDEX('Price List'!$Q$3:$Q$20,MATCH($C18,'Price List'!$C$3:$C$20,0))</f>
        <v>0</v>
      </c>
      <c r="O18" s="34" t="n">
        <f aca="false">IF(LEFT(C18,3)="TM3",E18,0)</f>
        <v>1</v>
      </c>
      <c r="P18" s="32"/>
      <c r="Q18" s="35" t="n">
        <f aca="false">E18*INDEX(요약!$C$4:$C$7,MATCH($A18,요약!$A$4:$A$7,0))</f>
        <v>300</v>
      </c>
    </row>
    <row r="19" customFormat="false" ht="15" hidden="false" customHeight="false" outlineLevel="0" collapsed="false">
      <c r="A19" s="16" t="s">
        <v>12</v>
      </c>
      <c r="B19" s="16" t="s">
        <v>99</v>
      </c>
      <c r="C19" s="32" t="s">
        <v>80</v>
      </c>
      <c r="D19" s="32" t="s">
        <v>112</v>
      </c>
      <c r="E19" s="33" t="n">
        <v>1</v>
      </c>
      <c r="F19" s="20" t="n">
        <f aca="false">INDEX('Price List'!$I$3:$I$20,MATCH($C19,'Price List'!$C$3:$C$20,0))</f>
        <v>138400</v>
      </c>
      <c r="G19" s="20" t="n">
        <f aca="false">E19*F19</f>
        <v>138400</v>
      </c>
      <c r="H19" s="34" t="n">
        <f aca="false">E19*INDEX('Price List'!$K$3:$K$20,MATCH($C19,'Price List'!$C$3:$C$20,0))</f>
        <v>0</v>
      </c>
      <c r="I19" s="34" t="n">
        <f aca="false">E19*INDEX('Price List'!$L$3:$L$20,MATCH($C19,'Price List'!$C$3:$C$20,0))</f>
        <v>0</v>
      </c>
      <c r="J19" s="34" t="n">
        <f aca="false">E19*INDEX('Price List'!$M$3:$M$20,MATCH($C19,'Price List'!$C$3:$C$20,0))</f>
        <v>0</v>
      </c>
      <c r="K19" s="34" t="n">
        <f aca="false">I19+J19</f>
        <v>0</v>
      </c>
      <c r="L19" s="34" t="n">
        <f aca="false">E19*INDEX('Price List'!$O$3:$O$20,MATCH($C19,'Price List'!$C$3:$C$20,0))</f>
        <v>2</v>
      </c>
      <c r="M19" s="34" t="n">
        <f aca="false">E19*INDEX('Price List'!$P$3:$P$20,MATCH($C19,'Price List'!$C$3:$C$20,0))</f>
        <v>0</v>
      </c>
      <c r="N19" s="34" t="n">
        <f aca="false">E19*INDEX('Price List'!$Q$3:$Q$20,MATCH($C19,'Price List'!$C$3:$C$20,0))</f>
        <v>0</v>
      </c>
      <c r="O19" s="34" t="n">
        <f aca="false">IF(LEFT(C19,3)="TM3",E19,0)</f>
        <v>1</v>
      </c>
      <c r="P19" s="32"/>
      <c r="Q19" s="35" t="n">
        <f aca="false">E19*INDEX(요약!$C$4:$C$7,MATCH($A19,요약!$A$4:$A$7,0))</f>
        <v>300</v>
      </c>
    </row>
    <row r="20" customFormat="false" ht="15" hidden="false" customHeight="false" outlineLevel="0" collapsed="false">
      <c r="A20" s="9" t="s">
        <v>12</v>
      </c>
      <c r="B20" s="9" t="s">
        <v>99</v>
      </c>
      <c r="C20" s="36" t="s">
        <v>102</v>
      </c>
      <c r="D20" s="36" t="s">
        <v>103</v>
      </c>
      <c r="E20" s="36"/>
      <c r="F20" s="36"/>
      <c r="G20" s="10" t="n">
        <f aca="false">SUM(G17:G19)</f>
        <v>622050</v>
      </c>
      <c r="H20" s="37" t="n">
        <f aca="false">SUM(H17:H19)</f>
        <v>14</v>
      </c>
      <c r="I20" s="37" t="n">
        <f aca="false">SUM(I17:I19)</f>
        <v>10</v>
      </c>
      <c r="J20" s="37" t="n">
        <f aca="false">SUM(J17:J19)</f>
        <v>16</v>
      </c>
      <c r="K20" s="37" t="n">
        <f aca="false">SUM(K17:K19)</f>
        <v>26</v>
      </c>
      <c r="L20" s="37" t="n">
        <f aca="false">SUM(L17:L19)</f>
        <v>2</v>
      </c>
      <c r="M20" s="37" t="n">
        <f aca="false">SUM(M17:M19)</f>
        <v>2</v>
      </c>
      <c r="N20" s="37" t="n">
        <f aca="false">SUM(N17:N19)</f>
        <v>0</v>
      </c>
      <c r="O20" s="37" t="n">
        <f aca="false">SUM(O17:O19)</f>
        <v>2</v>
      </c>
      <c r="P20" s="9" t="str">
        <f aca="false">IF(AND(H20&gt;=H16,K20&gt;=K16,J20&gt;=K16,L20&gt;=L16,M20&gt;=M16,N20&gt;=N16),IF(O20&gt;7,"OK (TM3 버스확장 필요)","OK"),"사양 미달")</f>
        <v>OK</v>
      </c>
      <c r="Q20" s="36"/>
    </row>
    <row r="21" customFormat="false" ht="15" hidden="false" customHeight="false" outlineLevel="0" collapsed="false">
      <c r="A21" s="16" t="s">
        <v>12</v>
      </c>
      <c r="B21" s="16" t="s">
        <v>104</v>
      </c>
      <c r="C21" s="32" t="s">
        <v>56</v>
      </c>
      <c r="D21" s="32" t="s">
        <v>113</v>
      </c>
      <c r="E21" s="33" t="n">
        <v>1</v>
      </c>
      <c r="F21" s="20" t="n">
        <f aca="false">INDEX('Price List'!$I$3:$I$20,MATCH($C21,'Price List'!$C$3:$C$20,0))</f>
        <v>417600</v>
      </c>
      <c r="G21" s="20" t="n">
        <f aca="false">E21*F21</f>
        <v>417600</v>
      </c>
      <c r="H21" s="34" t="n">
        <f aca="false">E21*INDEX('Price List'!$K$3:$K$20,MATCH($C21,'Price List'!$C$3:$C$20,0))</f>
        <v>24</v>
      </c>
      <c r="I21" s="34" t="n">
        <f aca="false">E21*INDEX('Price List'!$L$3:$L$20,MATCH($C21,'Price List'!$C$3:$C$20,0))</f>
        <v>16</v>
      </c>
      <c r="J21" s="34" t="n">
        <f aca="false">E21*INDEX('Price List'!$M$3:$M$20,MATCH($C21,'Price List'!$C$3:$C$20,0))</f>
        <v>0</v>
      </c>
      <c r="K21" s="34" t="n">
        <f aca="false">I21+J21</f>
        <v>16</v>
      </c>
      <c r="L21" s="34" t="n">
        <f aca="false">E21*INDEX('Price List'!$O$3:$O$20,MATCH($C21,'Price List'!$C$3:$C$20,0))</f>
        <v>0</v>
      </c>
      <c r="M21" s="34" t="n">
        <f aca="false">E21*INDEX('Price List'!$P$3:$P$20,MATCH($C21,'Price List'!$C$3:$C$20,0))</f>
        <v>2</v>
      </c>
      <c r="N21" s="34" t="n">
        <f aca="false">E21*INDEX('Price List'!$Q$3:$Q$20,MATCH($C21,'Price List'!$C$3:$C$20,0))</f>
        <v>0</v>
      </c>
      <c r="O21" s="34" t="n">
        <f aca="false">IF(LEFT(C21,3)="TM3",E21,0)</f>
        <v>0</v>
      </c>
      <c r="P21" s="32"/>
      <c r="Q21" s="35" t="n">
        <f aca="false">E21*INDEX(요약!$C$4:$C$7,MATCH($A21,요약!$A$4:$A$7,0))</f>
        <v>300</v>
      </c>
    </row>
    <row r="22" customFormat="false" ht="15" hidden="false" customHeight="false" outlineLevel="0" collapsed="false">
      <c r="A22" s="16" t="s">
        <v>12</v>
      </c>
      <c r="B22" s="16" t="s">
        <v>104</v>
      </c>
      <c r="C22" s="32" t="s">
        <v>80</v>
      </c>
      <c r="D22" s="32" t="s">
        <v>112</v>
      </c>
      <c r="E22" s="33" t="n">
        <v>1</v>
      </c>
      <c r="F22" s="20" t="n">
        <f aca="false">INDEX('Price List'!$I$3:$I$20,MATCH($C22,'Price List'!$C$3:$C$20,0))</f>
        <v>138400</v>
      </c>
      <c r="G22" s="20" t="n">
        <f aca="false">E22*F22</f>
        <v>138400</v>
      </c>
      <c r="H22" s="34" t="n">
        <f aca="false">E22*INDEX('Price List'!$K$3:$K$20,MATCH($C22,'Price List'!$C$3:$C$20,0))</f>
        <v>0</v>
      </c>
      <c r="I22" s="34" t="n">
        <f aca="false">E22*INDEX('Price List'!$L$3:$L$20,MATCH($C22,'Price List'!$C$3:$C$20,0))</f>
        <v>0</v>
      </c>
      <c r="J22" s="34" t="n">
        <f aca="false">E22*INDEX('Price List'!$M$3:$M$20,MATCH($C22,'Price List'!$C$3:$C$20,0))</f>
        <v>0</v>
      </c>
      <c r="K22" s="34" t="n">
        <f aca="false">I22+J22</f>
        <v>0</v>
      </c>
      <c r="L22" s="34" t="n">
        <f aca="false">E22*INDEX('Price List'!$O$3:$O$20,MATCH($C22,'Price List'!$C$3:$C$20,0))</f>
        <v>2</v>
      </c>
      <c r="M22" s="34" t="n">
        <f aca="false">E22*INDEX('Price List'!$P$3:$P$20,MATCH($C22,'Price List'!$C$3:$C$20,0))</f>
        <v>0</v>
      </c>
      <c r="N22" s="34" t="n">
        <f aca="false">E22*INDEX('Price List'!$Q$3:$Q$20,MATCH($C22,'Price List'!$C$3:$C$20,0))</f>
        <v>0</v>
      </c>
      <c r="O22" s="34" t="n">
        <f aca="false">IF(LEFT(C22,3)="TM3",E22,0)</f>
        <v>1</v>
      </c>
      <c r="P22" s="32"/>
      <c r="Q22" s="35" t="n">
        <f aca="false">E22*INDEX(요약!$C$4:$C$7,MATCH($A22,요약!$A$4:$A$7,0))</f>
        <v>300</v>
      </c>
    </row>
    <row r="23" customFormat="false" ht="15" hidden="false" customHeight="false" outlineLevel="0" collapsed="false">
      <c r="A23" s="9" t="s">
        <v>12</v>
      </c>
      <c r="B23" s="9" t="s">
        <v>104</v>
      </c>
      <c r="C23" s="36" t="s">
        <v>102</v>
      </c>
      <c r="D23" s="36" t="s">
        <v>106</v>
      </c>
      <c r="E23" s="36"/>
      <c r="F23" s="36"/>
      <c r="G23" s="10" t="n">
        <f aca="false">SUM(G21:G22)</f>
        <v>556000</v>
      </c>
      <c r="H23" s="37" t="n">
        <f aca="false">SUM(H21:H22)</f>
        <v>24</v>
      </c>
      <c r="I23" s="37" t="n">
        <f aca="false">SUM(I21:I22)</f>
        <v>16</v>
      </c>
      <c r="J23" s="37" t="n">
        <f aca="false">SUM(J21:J22)</f>
        <v>0</v>
      </c>
      <c r="K23" s="37" t="n">
        <f aca="false">SUM(K21:K22)</f>
        <v>16</v>
      </c>
      <c r="L23" s="37" t="n">
        <f aca="false">SUM(L21:L22)</f>
        <v>2</v>
      </c>
      <c r="M23" s="37" t="n">
        <f aca="false">SUM(M21:M22)</f>
        <v>2</v>
      </c>
      <c r="N23" s="37" t="n">
        <f aca="false">SUM(N21:N22)</f>
        <v>0</v>
      </c>
      <c r="O23" s="37" t="n">
        <f aca="false">SUM(O21:O22)</f>
        <v>1</v>
      </c>
      <c r="P23" s="9" t="str">
        <f aca="false">IF(AND(H23&gt;=H16,K23&gt;=K16,TRUE(),L23&gt;=L16,M23&gt;=M16,N23&gt;=N16),IF(O23&gt;7,"OK (TM3 버스확장 필요)","OK"),"사양 미달")</f>
        <v>OK</v>
      </c>
      <c r="Q23" s="36"/>
    </row>
    <row r="24" customFormat="false" ht="15" hidden="false" customHeight="false" outlineLevel="0" collapsed="false">
      <c r="A24" s="16" t="s">
        <v>12</v>
      </c>
      <c r="B24" s="16" t="s">
        <v>107</v>
      </c>
      <c r="C24" s="32" t="s">
        <v>57</v>
      </c>
      <c r="D24" s="32" t="s">
        <v>114</v>
      </c>
      <c r="E24" s="33" t="n">
        <v>1</v>
      </c>
      <c r="F24" s="20" t="n">
        <f aca="false">INDEX('Price List'!$I$3:$I$20,MATCH($C24,'Price List'!$C$3:$C$20,0))</f>
        <v>406350</v>
      </c>
      <c r="G24" s="20" t="n">
        <f aca="false">E24*F24</f>
        <v>406350</v>
      </c>
      <c r="H24" s="34" t="n">
        <f aca="false">E24*INDEX('Price List'!$K$3:$K$20,MATCH($C24,'Price List'!$C$3:$C$20,0))</f>
        <v>24</v>
      </c>
      <c r="I24" s="34" t="n">
        <f aca="false">E24*INDEX('Price List'!$L$3:$L$20,MATCH($C24,'Price List'!$C$3:$C$20,0))</f>
        <v>4</v>
      </c>
      <c r="J24" s="34" t="n">
        <f aca="false">E24*INDEX('Price List'!$M$3:$M$20,MATCH($C24,'Price List'!$C$3:$C$20,0))</f>
        <v>12</v>
      </c>
      <c r="K24" s="34" t="n">
        <f aca="false">I24+J24</f>
        <v>16</v>
      </c>
      <c r="L24" s="34" t="n">
        <f aca="false">E24*INDEX('Price List'!$O$3:$O$20,MATCH($C24,'Price List'!$C$3:$C$20,0))</f>
        <v>0</v>
      </c>
      <c r="M24" s="34" t="n">
        <f aca="false">E24*INDEX('Price List'!$P$3:$P$20,MATCH($C24,'Price List'!$C$3:$C$20,0))</f>
        <v>2</v>
      </c>
      <c r="N24" s="34" t="n">
        <f aca="false">E24*INDEX('Price List'!$Q$3:$Q$20,MATCH($C24,'Price List'!$C$3:$C$20,0))</f>
        <v>0</v>
      </c>
      <c r="O24" s="34" t="n">
        <f aca="false">IF(LEFT(C24,3)="TM3",E24,0)</f>
        <v>0</v>
      </c>
      <c r="P24" s="32"/>
      <c r="Q24" s="35" t="n">
        <f aca="false">E24*INDEX(요약!$C$4:$C$7,MATCH($A24,요약!$A$4:$A$7,0))</f>
        <v>300</v>
      </c>
    </row>
    <row r="25" customFormat="false" ht="15" hidden="false" customHeight="false" outlineLevel="0" collapsed="false">
      <c r="A25" s="16" t="s">
        <v>12</v>
      </c>
      <c r="B25" s="16" t="s">
        <v>107</v>
      </c>
      <c r="C25" s="32" t="s">
        <v>80</v>
      </c>
      <c r="D25" s="32" t="s">
        <v>112</v>
      </c>
      <c r="E25" s="33" t="n">
        <v>1</v>
      </c>
      <c r="F25" s="20" t="n">
        <f aca="false">INDEX('Price List'!$I$3:$I$20,MATCH($C25,'Price List'!$C$3:$C$20,0))</f>
        <v>138400</v>
      </c>
      <c r="G25" s="20" t="n">
        <f aca="false">E25*F25</f>
        <v>138400</v>
      </c>
      <c r="H25" s="34" t="n">
        <f aca="false">E25*INDEX('Price List'!$K$3:$K$20,MATCH($C25,'Price List'!$C$3:$C$20,0))</f>
        <v>0</v>
      </c>
      <c r="I25" s="34" t="n">
        <f aca="false">E25*INDEX('Price List'!$L$3:$L$20,MATCH($C25,'Price List'!$C$3:$C$20,0))</f>
        <v>0</v>
      </c>
      <c r="J25" s="34" t="n">
        <f aca="false">E25*INDEX('Price List'!$M$3:$M$20,MATCH($C25,'Price List'!$C$3:$C$20,0))</f>
        <v>0</v>
      </c>
      <c r="K25" s="34" t="n">
        <f aca="false">I25+J25</f>
        <v>0</v>
      </c>
      <c r="L25" s="34" t="n">
        <f aca="false">E25*INDEX('Price List'!$O$3:$O$20,MATCH($C25,'Price List'!$C$3:$C$20,0))</f>
        <v>2</v>
      </c>
      <c r="M25" s="34" t="n">
        <f aca="false">E25*INDEX('Price List'!$P$3:$P$20,MATCH($C25,'Price List'!$C$3:$C$20,0))</f>
        <v>0</v>
      </c>
      <c r="N25" s="34" t="n">
        <f aca="false">E25*INDEX('Price List'!$Q$3:$Q$20,MATCH($C25,'Price List'!$C$3:$C$20,0))</f>
        <v>0</v>
      </c>
      <c r="O25" s="34" t="n">
        <f aca="false">IF(LEFT(C25,3)="TM3",E25,0)</f>
        <v>1</v>
      </c>
      <c r="P25" s="32"/>
      <c r="Q25" s="35" t="n">
        <f aca="false">E25*INDEX(요약!$C$4:$C$7,MATCH($A25,요약!$A$4:$A$7,0))</f>
        <v>300</v>
      </c>
    </row>
    <row r="26" customFormat="false" ht="15" hidden="false" customHeight="false" outlineLevel="0" collapsed="false">
      <c r="A26" s="9" t="s">
        <v>12</v>
      </c>
      <c r="B26" s="9" t="s">
        <v>107</v>
      </c>
      <c r="C26" s="36" t="s">
        <v>102</v>
      </c>
      <c r="D26" s="36" t="s">
        <v>109</v>
      </c>
      <c r="E26" s="36"/>
      <c r="F26" s="36"/>
      <c r="G26" s="10" t="n">
        <f aca="false">SUM(G24:G25)</f>
        <v>544750</v>
      </c>
      <c r="H26" s="37" t="n">
        <f aca="false">SUM(H24:H25)</f>
        <v>24</v>
      </c>
      <c r="I26" s="37" t="n">
        <f aca="false">SUM(I24:I25)</f>
        <v>4</v>
      </c>
      <c r="J26" s="37" t="n">
        <f aca="false">SUM(J24:J25)</f>
        <v>12</v>
      </c>
      <c r="K26" s="37" t="n">
        <f aca="false">SUM(K24:K25)</f>
        <v>16</v>
      </c>
      <c r="L26" s="37" t="n">
        <f aca="false">SUM(L24:L25)</f>
        <v>2</v>
      </c>
      <c r="M26" s="37" t="n">
        <f aca="false">SUM(M24:M25)</f>
        <v>2</v>
      </c>
      <c r="N26" s="37" t="n">
        <f aca="false">SUM(N24:N25)</f>
        <v>0</v>
      </c>
      <c r="O26" s="37" t="n">
        <f aca="false">SUM(O24:O25)</f>
        <v>1</v>
      </c>
      <c r="P26" s="9" t="str">
        <f aca="false">IF(AND(H26&gt;=H16,K26&gt;=K16,TRUE(),L26&gt;=L16,M26&gt;=M16,N26&gt;=N16),IF(O26&gt;7,"OK (TM3 버스확장 필요)","OK"),"사양 미달")</f>
        <v>OK</v>
      </c>
      <c r="Q26" s="36"/>
    </row>
    <row r="28" customFormat="false" ht="14.9" hidden="false" customHeight="false" outlineLevel="0" collapsed="false">
      <c r="A28" s="28" t="s">
        <v>115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</row>
    <row r="29" customFormat="false" ht="15" hidden="false" customHeight="false" outlineLevel="0" collapsed="false">
      <c r="A29" s="29" t="s">
        <v>14</v>
      </c>
      <c r="B29" s="30" t="s">
        <v>97</v>
      </c>
      <c r="C29" s="30"/>
      <c r="D29" s="31" t="s">
        <v>98</v>
      </c>
      <c r="E29" s="30"/>
      <c r="F29" s="30"/>
      <c r="G29" s="30"/>
      <c r="H29" s="30" t="n">
        <v>4</v>
      </c>
      <c r="I29" s="30"/>
      <c r="J29" s="30"/>
      <c r="K29" s="30" t="n">
        <v>6</v>
      </c>
      <c r="L29" s="30" t="n">
        <v>1</v>
      </c>
      <c r="M29" s="30" t="n">
        <v>2</v>
      </c>
      <c r="N29" s="30" t="n">
        <v>0</v>
      </c>
      <c r="O29" s="30"/>
      <c r="P29" s="30"/>
      <c r="Q29" s="30"/>
    </row>
    <row r="30" customFormat="false" ht="15" hidden="false" customHeight="false" outlineLevel="0" collapsed="false">
      <c r="A30" s="16" t="s">
        <v>14</v>
      </c>
      <c r="B30" s="16" t="s">
        <v>99</v>
      </c>
      <c r="C30" s="32" t="s">
        <v>51</v>
      </c>
      <c r="D30" s="32" t="s">
        <v>116</v>
      </c>
      <c r="E30" s="33" t="n">
        <v>1</v>
      </c>
      <c r="F30" s="20" t="n">
        <f aca="false">INDEX('Price List'!$I$3:$I$20,MATCH($C30,'Price List'!$C$3:$C$20,0))</f>
        <v>392850</v>
      </c>
      <c r="G30" s="20" t="n">
        <f aca="false">E30*F30</f>
        <v>392850</v>
      </c>
      <c r="H30" s="34" t="n">
        <f aca="false">E30*INDEX('Price List'!$K$3:$K$20,MATCH($C30,'Price List'!$C$3:$C$20,0))</f>
        <v>14</v>
      </c>
      <c r="I30" s="34" t="n">
        <f aca="false">E30*INDEX('Price List'!$L$3:$L$20,MATCH($C30,'Price List'!$C$3:$C$20,0))</f>
        <v>10</v>
      </c>
      <c r="J30" s="34" t="n">
        <f aca="false">E30*INDEX('Price List'!$M$3:$M$20,MATCH($C30,'Price List'!$C$3:$C$20,0))</f>
        <v>0</v>
      </c>
      <c r="K30" s="34" t="n">
        <f aca="false">I30+J30</f>
        <v>10</v>
      </c>
      <c r="L30" s="34" t="n">
        <f aca="false">E30*INDEX('Price List'!$O$3:$O$20,MATCH($C30,'Price List'!$C$3:$C$20,0))</f>
        <v>0</v>
      </c>
      <c r="M30" s="34" t="n">
        <f aca="false">E30*INDEX('Price List'!$P$3:$P$20,MATCH($C30,'Price List'!$C$3:$C$20,0))</f>
        <v>2</v>
      </c>
      <c r="N30" s="34" t="n">
        <f aca="false">E30*INDEX('Price List'!$Q$3:$Q$20,MATCH($C30,'Price List'!$C$3:$C$20,0))</f>
        <v>0</v>
      </c>
      <c r="O30" s="34" t="n">
        <f aca="false">IF(LEFT(C30,3)="TM3",E30,0)</f>
        <v>0</v>
      </c>
      <c r="P30" s="32"/>
      <c r="Q30" s="35" t="n">
        <f aca="false">E30*INDEX(요약!$C$4:$C$7,MATCH($A30,요약!$A$4:$A$7,0))</f>
        <v>50</v>
      </c>
    </row>
    <row r="31" customFormat="false" ht="15" hidden="false" customHeight="false" outlineLevel="0" collapsed="false">
      <c r="A31" s="16" t="s">
        <v>14</v>
      </c>
      <c r="B31" s="16" t="s">
        <v>99</v>
      </c>
      <c r="C31" s="32" t="s">
        <v>68</v>
      </c>
      <c r="D31" s="32" t="s">
        <v>117</v>
      </c>
      <c r="E31" s="33" t="n">
        <v>1</v>
      </c>
      <c r="F31" s="20" t="n">
        <f aca="false">INDEX('Price List'!$I$3:$I$20,MATCH($C31,'Price List'!$C$3:$C$20,0))</f>
        <v>64400</v>
      </c>
      <c r="G31" s="20" t="n">
        <f aca="false">E31*F31</f>
        <v>64400</v>
      </c>
      <c r="H31" s="34" t="n">
        <f aca="false">E31*INDEX('Price List'!$K$3:$K$20,MATCH($C31,'Price List'!$C$3:$C$20,0))</f>
        <v>0</v>
      </c>
      <c r="I31" s="34" t="n">
        <f aca="false">E31*INDEX('Price List'!$L$3:$L$20,MATCH($C31,'Price List'!$C$3:$C$20,0))</f>
        <v>0</v>
      </c>
      <c r="J31" s="34" t="n">
        <f aca="false">E31*INDEX('Price List'!$M$3:$M$20,MATCH($C31,'Price List'!$C$3:$C$20,0))</f>
        <v>8</v>
      </c>
      <c r="K31" s="34" t="n">
        <f aca="false">I31+J31</f>
        <v>8</v>
      </c>
      <c r="L31" s="34" t="n">
        <f aca="false">E31*INDEX('Price List'!$O$3:$O$20,MATCH($C31,'Price List'!$C$3:$C$20,0))</f>
        <v>0</v>
      </c>
      <c r="M31" s="34" t="n">
        <f aca="false">E31*INDEX('Price List'!$P$3:$P$20,MATCH($C31,'Price List'!$C$3:$C$20,0))</f>
        <v>0</v>
      </c>
      <c r="N31" s="34" t="n">
        <f aca="false">E31*INDEX('Price List'!$Q$3:$Q$20,MATCH($C31,'Price List'!$C$3:$C$20,0))</f>
        <v>0</v>
      </c>
      <c r="O31" s="34" t="n">
        <f aca="false">IF(LEFT(C31,3)="TM3",E31,0)</f>
        <v>1</v>
      </c>
      <c r="P31" s="32"/>
      <c r="Q31" s="35" t="n">
        <f aca="false">E31*INDEX(요약!$C$4:$C$7,MATCH($A31,요약!$A$4:$A$7,0))</f>
        <v>50</v>
      </c>
    </row>
    <row r="32" customFormat="false" ht="15" hidden="false" customHeight="false" outlineLevel="0" collapsed="false">
      <c r="A32" s="16" t="s">
        <v>14</v>
      </c>
      <c r="B32" s="16" t="s">
        <v>99</v>
      </c>
      <c r="C32" s="32" t="s">
        <v>80</v>
      </c>
      <c r="D32" s="32" t="s">
        <v>118</v>
      </c>
      <c r="E32" s="33" t="n">
        <v>1</v>
      </c>
      <c r="F32" s="20" t="n">
        <f aca="false">INDEX('Price List'!$I$3:$I$20,MATCH($C32,'Price List'!$C$3:$C$20,0))</f>
        <v>138400</v>
      </c>
      <c r="G32" s="20" t="n">
        <f aca="false">E32*F32</f>
        <v>138400</v>
      </c>
      <c r="H32" s="34" t="n">
        <f aca="false">E32*INDEX('Price List'!$K$3:$K$20,MATCH($C32,'Price List'!$C$3:$C$20,0))</f>
        <v>0</v>
      </c>
      <c r="I32" s="34" t="n">
        <f aca="false">E32*INDEX('Price List'!$L$3:$L$20,MATCH($C32,'Price List'!$C$3:$C$20,0))</f>
        <v>0</v>
      </c>
      <c r="J32" s="34" t="n">
        <f aca="false">E32*INDEX('Price List'!$M$3:$M$20,MATCH($C32,'Price List'!$C$3:$C$20,0))</f>
        <v>0</v>
      </c>
      <c r="K32" s="34" t="n">
        <f aca="false">I32+J32</f>
        <v>0</v>
      </c>
      <c r="L32" s="34" t="n">
        <f aca="false">E32*INDEX('Price List'!$O$3:$O$20,MATCH($C32,'Price List'!$C$3:$C$20,0))</f>
        <v>2</v>
      </c>
      <c r="M32" s="34" t="n">
        <f aca="false">E32*INDEX('Price List'!$P$3:$P$20,MATCH($C32,'Price List'!$C$3:$C$20,0))</f>
        <v>0</v>
      </c>
      <c r="N32" s="34" t="n">
        <f aca="false">E32*INDEX('Price List'!$Q$3:$Q$20,MATCH($C32,'Price List'!$C$3:$C$20,0))</f>
        <v>0</v>
      </c>
      <c r="O32" s="34" t="n">
        <f aca="false">IF(LEFT(C32,3)="TM3",E32,0)</f>
        <v>1</v>
      </c>
      <c r="P32" s="32"/>
      <c r="Q32" s="35" t="n">
        <f aca="false">E32*INDEX(요약!$C$4:$C$7,MATCH($A32,요약!$A$4:$A$7,0))</f>
        <v>50</v>
      </c>
    </row>
    <row r="33" customFormat="false" ht="15" hidden="false" customHeight="false" outlineLevel="0" collapsed="false">
      <c r="A33" s="9" t="s">
        <v>14</v>
      </c>
      <c r="B33" s="9" t="s">
        <v>99</v>
      </c>
      <c r="C33" s="36" t="s">
        <v>102</v>
      </c>
      <c r="D33" s="36" t="s">
        <v>103</v>
      </c>
      <c r="E33" s="36"/>
      <c r="F33" s="36"/>
      <c r="G33" s="10" t="n">
        <f aca="false">SUM(G30:G32)</f>
        <v>595650</v>
      </c>
      <c r="H33" s="37" t="n">
        <f aca="false">SUM(H30:H32)</f>
        <v>14</v>
      </c>
      <c r="I33" s="37" t="n">
        <f aca="false">SUM(I30:I32)</f>
        <v>10</v>
      </c>
      <c r="J33" s="37" t="n">
        <f aca="false">SUM(J30:J32)</f>
        <v>8</v>
      </c>
      <c r="K33" s="37" t="n">
        <f aca="false">SUM(K30:K32)</f>
        <v>18</v>
      </c>
      <c r="L33" s="37" t="n">
        <f aca="false">SUM(L30:L32)</f>
        <v>2</v>
      </c>
      <c r="M33" s="37" t="n">
        <f aca="false">SUM(M30:M32)</f>
        <v>2</v>
      </c>
      <c r="N33" s="37" t="n">
        <f aca="false">SUM(N30:N32)</f>
        <v>0</v>
      </c>
      <c r="O33" s="37" t="n">
        <f aca="false">SUM(O30:O32)</f>
        <v>2</v>
      </c>
      <c r="P33" s="9" t="str">
        <f aca="false">IF(AND(H33&gt;=H29,K33&gt;=K29,J33&gt;=K29,L33&gt;=L29,M33&gt;=M29,N33&gt;=N29),IF(O33&gt;7,"OK (TM3 버스확장 필요)","OK"),"사양 미달")</f>
        <v>OK</v>
      </c>
      <c r="Q33" s="36"/>
    </row>
    <row r="34" customFormat="false" ht="15" hidden="false" customHeight="false" outlineLevel="0" collapsed="false">
      <c r="A34" s="16" t="s">
        <v>14</v>
      </c>
      <c r="B34" s="16" t="s">
        <v>104</v>
      </c>
      <c r="C34" s="32" t="s">
        <v>51</v>
      </c>
      <c r="D34" s="32" t="s">
        <v>119</v>
      </c>
      <c r="E34" s="33" t="n">
        <v>1</v>
      </c>
      <c r="F34" s="20" t="n">
        <f aca="false">INDEX('Price List'!$I$3:$I$20,MATCH($C34,'Price List'!$C$3:$C$20,0))</f>
        <v>392850</v>
      </c>
      <c r="G34" s="20" t="n">
        <f aca="false">E34*F34</f>
        <v>392850</v>
      </c>
      <c r="H34" s="34" t="n">
        <f aca="false">E34*INDEX('Price List'!$K$3:$K$20,MATCH($C34,'Price List'!$C$3:$C$20,0))</f>
        <v>14</v>
      </c>
      <c r="I34" s="34" t="n">
        <f aca="false">E34*INDEX('Price List'!$L$3:$L$20,MATCH($C34,'Price List'!$C$3:$C$20,0))</f>
        <v>10</v>
      </c>
      <c r="J34" s="34" t="n">
        <f aca="false">E34*INDEX('Price List'!$M$3:$M$20,MATCH($C34,'Price List'!$C$3:$C$20,0))</f>
        <v>0</v>
      </c>
      <c r="K34" s="34" t="n">
        <f aca="false">I34+J34</f>
        <v>10</v>
      </c>
      <c r="L34" s="34" t="n">
        <f aca="false">E34*INDEX('Price List'!$O$3:$O$20,MATCH($C34,'Price List'!$C$3:$C$20,0))</f>
        <v>0</v>
      </c>
      <c r="M34" s="34" t="n">
        <f aca="false">E34*INDEX('Price List'!$P$3:$P$20,MATCH($C34,'Price List'!$C$3:$C$20,0))</f>
        <v>2</v>
      </c>
      <c r="N34" s="34" t="n">
        <f aca="false">E34*INDEX('Price List'!$Q$3:$Q$20,MATCH($C34,'Price List'!$C$3:$C$20,0))</f>
        <v>0</v>
      </c>
      <c r="O34" s="34" t="n">
        <f aca="false">IF(LEFT(C34,3)="TM3",E34,0)</f>
        <v>0</v>
      </c>
      <c r="P34" s="32"/>
      <c r="Q34" s="35" t="n">
        <f aca="false">E34*INDEX(요약!$C$4:$C$7,MATCH($A34,요약!$A$4:$A$7,0))</f>
        <v>50</v>
      </c>
    </row>
    <row r="35" customFormat="false" ht="15" hidden="false" customHeight="false" outlineLevel="0" collapsed="false">
      <c r="A35" s="16" t="s">
        <v>14</v>
      </c>
      <c r="B35" s="16" t="s">
        <v>104</v>
      </c>
      <c r="C35" s="32" t="s">
        <v>80</v>
      </c>
      <c r="D35" s="32" t="s">
        <v>118</v>
      </c>
      <c r="E35" s="33" t="n">
        <v>1</v>
      </c>
      <c r="F35" s="20" t="n">
        <f aca="false">INDEX('Price List'!$I$3:$I$20,MATCH($C35,'Price List'!$C$3:$C$20,0))</f>
        <v>138400</v>
      </c>
      <c r="G35" s="20" t="n">
        <f aca="false">E35*F35</f>
        <v>138400</v>
      </c>
      <c r="H35" s="34" t="n">
        <f aca="false">E35*INDEX('Price List'!$K$3:$K$20,MATCH($C35,'Price List'!$C$3:$C$20,0))</f>
        <v>0</v>
      </c>
      <c r="I35" s="34" t="n">
        <f aca="false">E35*INDEX('Price List'!$L$3:$L$20,MATCH($C35,'Price List'!$C$3:$C$20,0))</f>
        <v>0</v>
      </c>
      <c r="J35" s="34" t="n">
        <f aca="false">E35*INDEX('Price List'!$M$3:$M$20,MATCH($C35,'Price List'!$C$3:$C$20,0))</f>
        <v>0</v>
      </c>
      <c r="K35" s="34" t="n">
        <f aca="false">I35+J35</f>
        <v>0</v>
      </c>
      <c r="L35" s="34" t="n">
        <f aca="false">E35*INDEX('Price List'!$O$3:$O$20,MATCH($C35,'Price List'!$C$3:$C$20,0))</f>
        <v>2</v>
      </c>
      <c r="M35" s="34" t="n">
        <f aca="false">E35*INDEX('Price List'!$P$3:$P$20,MATCH($C35,'Price List'!$C$3:$C$20,0))</f>
        <v>0</v>
      </c>
      <c r="N35" s="34" t="n">
        <f aca="false">E35*INDEX('Price List'!$Q$3:$Q$20,MATCH($C35,'Price List'!$C$3:$C$20,0))</f>
        <v>0</v>
      </c>
      <c r="O35" s="34" t="n">
        <f aca="false">IF(LEFT(C35,3)="TM3",E35,0)</f>
        <v>1</v>
      </c>
      <c r="P35" s="32"/>
      <c r="Q35" s="35" t="n">
        <f aca="false">E35*INDEX(요약!$C$4:$C$7,MATCH($A35,요약!$A$4:$A$7,0))</f>
        <v>50</v>
      </c>
    </row>
    <row r="36" customFormat="false" ht="15" hidden="false" customHeight="false" outlineLevel="0" collapsed="false">
      <c r="A36" s="9" t="s">
        <v>14</v>
      </c>
      <c r="B36" s="9" t="s">
        <v>104</v>
      </c>
      <c r="C36" s="36" t="s">
        <v>102</v>
      </c>
      <c r="D36" s="36" t="s">
        <v>106</v>
      </c>
      <c r="E36" s="36"/>
      <c r="F36" s="36"/>
      <c r="G36" s="10" t="n">
        <f aca="false">SUM(G34:G35)</f>
        <v>531250</v>
      </c>
      <c r="H36" s="37" t="n">
        <f aca="false">SUM(H34:H35)</f>
        <v>14</v>
      </c>
      <c r="I36" s="37" t="n">
        <f aca="false">SUM(I34:I35)</f>
        <v>10</v>
      </c>
      <c r="J36" s="37" t="n">
        <f aca="false">SUM(J34:J35)</f>
        <v>0</v>
      </c>
      <c r="K36" s="37" t="n">
        <f aca="false">SUM(K34:K35)</f>
        <v>10</v>
      </c>
      <c r="L36" s="37" t="n">
        <f aca="false">SUM(L34:L35)</f>
        <v>2</v>
      </c>
      <c r="M36" s="37" t="n">
        <f aca="false">SUM(M34:M35)</f>
        <v>2</v>
      </c>
      <c r="N36" s="37" t="n">
        <f aca="false">SUM(N34:N35)</f>
        <v>0</v>
      </c>
      <c r="O36" s="37" t="n">
        <f aca="false">SUM(O34:O35)</f>
        <v>1</v>
      </c>
      <c r="P36" s="9" t="str">
        <f aca="false">IF(AND(H36&gt;=H29,K36&gt;=K29,TRUE(),L36&gt;=L29,M36&gt;=M29,N36&gt;=N29),IF(O36&gt;7,"OK (TM3 버스확장 필요)","OK"),"사양 미달")</f>
        <v>OK</v>
      </c>
      <c r="Q36" s="36"/>
    </row>
    <row r="37" customFormat="false" ht="15" hidden="false" customHeight="false" outlineLevel="0" collapsed="false">
      <c r="A37" s="16" t="s">
        <v>14</v>
      </c>
      <c r="B37" s="16" t="s">
        <v>107</v>
      </c>
      <c r="C37" s="32" t="s">
        <v>53</v>
      </c>
      <c r="D37" s="32" t="s">
        <v>120</v>
      </c>
      <c r="E37" s="33" t="n">
        <v>1</v>
      </c>
      <c r="F37" s="20" t="n">
        <f aca="false">INDEX('Price List'!$I$3:$I$20,MATCH($C37,'Price List'!$C$3:$C$20,0))</f>
        <v>384750</v>
      </c>
      <c r="G37" s="20" t="n">
        <f aca="false">E37*F37</f>
        <v>384750</v>
      </c>
      <c r="H37" s="34" t="n">
        <f aca="false">E37*INDEX('Price List'!$K$3:$K$20,MATCH($C37,'Price List'!$C$3:$C$20,0))</f>
        <v>14</v>
      </c>
      <c r="I37" s="34" t="n">
        <f aca="false">E37*INDEX('Price List'!$L$3:$L$20,MATCH($C37,'Price List'!$C$3:$C$20,0))</f>
        <v>4</v>
      </c>
      <c r="J37" s="34" t="n">
        <f aca="false">E37*INDEX('Price List'!$M$3:$M$20,MATCH($C37,'Price List'!$C$3:$C$20,0))</f>
        <v>6</v>
      </c>
      <c r="K37" s="34" t="n">
        <f aca="false">I37+J37</f>
        <v>10</v>
      </c>
      <c r="L37" s="34" t="n">
        <f aca="false">E37*INDEX('Price List'!$O$3:$O$20,MATCH($C37,'Price List'!$C$3:$C$20,0))</f>
        <v>0</v>
      </c>
      <c r="M37" s="34" t="n">
        <f aca="false">E37*INDEX('Price List'!$P$3:$P$20,MATCH($C37,'Price List'!$C$3:$C$20,0))</f>
        <v>2</v>
      </c>
      <c r="N37" s="34" t="n">
        <f aca="false">E37*INDEX('Price List'!$Q$3:$Q$20,MATCH($C37,'Price List'!$C$3:$C$20,0))</f>
        <v>0</v>
      </c>
      <c r="O37" s="34" t="n">
        <f aca="false">IF(LEFT(C37,3)="TM3",E37,0)</f>
        <v>0</v>
      </c>
      <c r="P37" s="32"/>
      <c r="Q37" s="35" t="n">
        <f aca="false">E37*INDEX(요약!$C$4:$C$7,MATCH($A37,요약!$A$4:$A$7,0))</f>
        <v>50</v>
      </c>
    </row>
    <row r="38" customFormat="false" ht="15" hidden="false" customHeight="false" outlineLevel="0" collapsed="false">
      <c r="A38" s="16" t="s">
        <v>14</v>
      </c>
      <c r="B38" s="16" t="s">
        <v>107</v>
      </c>
      <c r="C38" s="32" t="s">
        <v>80</v>
      </c>
      <c r="D38" s="32" t="s">
        <v>118</v>
      </c>
      <c r="E38" s="33" t="n">
        <v>1</v>
      </c>
      <c r="F38" s="20" t="n">
        <f aca="false">INDEX('Price List'!$I$3:$I$20,MATCH($C38,'Price List'!$C$3:$C$20,0))</f>
        <v>138400</v>
      </c>
      <c r="G38" s="20" t="n">
        <f aca="false">E38*F38</f>
        <v>138400</v>
      </c>
      <c r="H38" s="34" t="n">
        <f aca="false">E38*INDEX('Price List'!$K$3:$K$20,MATCH($C38,'Price List'!$C$3:$C$20,0))</f>
        <v>0</v>
      </c>
      <c r="I38" s="34" t="n">
        <f aca="false">E38*INDEX('Price List'!$L$3:$L$20,MATCH($C38,'Price List'!$C$3:$C$20,0))</f>
        <v>0</v>
      </c>
      <c r="J38" s="34" t="n">
        <f aca="false">E38*INDEX('Price List'!$M$3:$M$20,MATCH($C38,'Price List'!$C$3:$C$20,0))</f>
        <v>0</v>
      </c>
      <c r="K38" s="34" t="n">
        <f aca="false">I38+J38</f>
        <v>0</v>
      </c>
      <c r="L38" s="34" t="n">
        <f aca="false">E38*INDEX('Price List'!$O$3:$O$20,MATCH($C38,'Price List'!$C$3:$C$20,0))</f>
        <v>2</v>
      </c>
      <c r="M38" s="34" t="n">
        <f aca="false">E38*INDEX('Price List'!$P$3:$P$20,MATCH($C38,'Price List'!$C$3:$C$20,0))</f>
        <v>0</v>
      </c>
      <c r="N38" s="34" t="n">
        <f aca="false">E38*INDEX('Price List'!$Q$3:$Q$20,MATCH($C38,'Price List'!$C$3:$C$20,0))</f>
        <v>0</v>
      </c>
      <c r="O38" s="34" t="n">
        <f aca="false">IF(LEFT(C38,3)="TM3",E38,0)</f>
        <v>1</v>
      </c>
      <c r="P38" s="32"/>
      <c r="Q38" s="35" t="n">
        <f aca="false">E38*INDEX(요약!$C$4:$C$7,MATCH($A38,요약!$A$4:$A$7,0))</f>
        <v>50</v>
      </c>
    </row>
    <row r="39" customFormat="false" ht="15" hidden="false" customHeight="false" outlineLevel="0" collapsed="false">
      <c r="A39" s="9" t="s">
        <v>14</v>
      </c>
      <c r="B39" s="9" t="s">
        <v>107</v>
      </c>
      <c r="C39" s="36" t="s">
        <v>102</v>
      </c>
      <c r="D39" s="36" t="s">
        <v>109</v>
      </c>
      <c r="E39" s="36"/>
      <c r="F39" s="36"/>
      <c r="G39" s="10" t="n">
        <f aca="false">SUM(G37:G38)</f>
        <v>523150</v>
      </c>
      <c r="H39" s="37" t="n">
        <f aca="false">SUM(H37:H38)</f>
        <v>14</v>
      </c>
      <c r="I39" s="37" t="n">
        <f aca="false">SUM(I37:I38)</f>
        <v>4</v>
      </c>
      <c r="J39" s="37" t="n">
        <f aca="false">SUM(J37:J38)</f>
        <v>6</v>
      </c>
      <c r="K39" s="37" t="n">
        <f aca="false">SUM(K37:K38)</f>
        <v>10</v>
      </c>
      <c r="L39" s="37" t="n">
        <f aca="false">SUM(L37:L38)</f>
        <v>2</v>
      </c>
      <c r="M39" s="37" t="n">
        <f aca="false">SUM(M37:M38)</f>
        <v>2</v>
      </c>
      <c r="N39" s="37" t="n">
        <f aca="false">SUM(N37:N38)</f>
        <v>0</v>
      </c>
      <c r="O39" s="37" t="n">
        <f aca="false">SUM(O37:O38)</f>
        <v>1</v>
      </c>
      <c r="P39" s="9" t="str">
        <f aca="false">IF(AND(H39&gt;=H29,K39&gt;=K29,TRUE(),L39&gt;=L29,M39&gt;=M29,N39&gt;=N29),IF(O39&gt;7,"OK (TM3 버스확장 필요)","OK"),"사양 미달")</f>
        <v>OK</v>
      </c>
      <c r="Q39" s="36"/>
    </row>
    <row r="41" customFormat="false" ht="14.9" hidden="false" customHeight="false" outlineLevel="0" collapsed="false">
      <c r="A41" s="28" t="s">
        <v>121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</row>
    <row r="42" customFormat="false" ht="15" hidden="false" customHeight="false" outlineLevel="0" collapsed="false">
      <c r="A42" s="29" t="s">
        <v>16</v>
      </c>
      <c r="B42" s="30" t="s">
        <v>97</v>
      </c>
      <c r="C42" s="30"/>
      <c r="D42" s="31" t="s">
        <v>122</v>
      </c>
      <c r="E42" s="30"/>
      <c r="F42" s="30"/>
      <c r="G42" s="30"/>
      <c r="H42" s="30" t="n">
        <v>102</v>
      </c>
      <c r="I42" s="30"/>
      <c r="J42" s="30"/>
      <c r="K42" s="30" t="n">
        <v>54</v>
      </c>
      <c r="L42" s="30" t="n">
        <v>4</v>
      </c>
      <c r="M42" s="30" t="n">
        <v>1</v>
      </c>
      <c r="N42" s="30" t="n">
        <v>1</v>
      </c>
      <c r="O42" s="30"/>
      <c r="P42" s="30"/>
      <c r="Q42" s="30"/>
    </row>
    <row r="43" customFormat="false" ht="15" hidden="false" customHeight="false" outlineLevel="0" collapsed="false">
      <c r="A43" s="16" t="s">
        <v>16</v>
      </c>
      <c r="B43" s="16" t="s">
        <v>99</v>
      </c>
      <c r="C43" s="32" t="s">
        <v>48</v>
      </c>
      <c r="D43" s="32" t="s">
        <v>123</v>
      </c>
      <c r="E43" s="33" t="n">
        <v>1</v>
      </c>
      <c r="F43" s="20" t="n">
        <f aca="false">INDEX('Price List'!$I$3:$I$20,MATCH($C43,'Price List'!$C$3:$C$20,0))</f>
        <v>398700</v>
      </c>
      <c r="G43" s="20" t="n">
        <f aca="false">E43*F43</f>
        <v>398700</v>
      </c>
      <c r="H43" s="34" t="n">
        <f aca="false">E43*INDEX('Price List'!$K$3:$K$20,MATCH($C43,'Price List'!$C$3:$C$20,0))</f>
        <v>14</v>
      </c>
      <c r="I43" s="34" t="n">
        <f aca="false">E43*INDEX('Price List'!$L$3:$L$20,MATCH($C43,'Price List'!$C$3:$C$20,0))</f>
        <v>10</v>
      </c>
      <c r="J43" s="34" t="n">
        <f aca="false">E43*INDEX('Price List'!$M$3:$M$20,MATCH($C43,'Price List'!$C$3:$C$20,0))</f>
        <v>0</v>
      </c>
      <c r="K43" s="34" t="n">
        <f aca="false">I43+J43</f>
        <v>10</v>
      </c>
      <c r="L43" s="34" t="n">
        <f aca="false">E43*INDEX('Price List'!$O$3:$O$20,MATCH($C43,'Price List'!$C$3:$C$20,0))</f>
        <v>0</v>
      </c>
      <c r="M43" s="34" t="n">
        <f aca="false">E43*INDEX('Price List'!$P$3:$P$20,MATCH($C43,'Price List'!$C$3:$C$20,0))</f>
        <v>2</v>
      </c>
      <c r="N43" s="34" t="n">
        <f aca="false">E43*INDEX('Price List'!$Q$3:$Q$20,MATCH($C43,'Price List'!$C$3:$C$20,0))</f>
        <v>1</v>
      </c>
      <c r="O43" s="34" t="n">
        <f aca="false">IF(LEFT(C43,3)="TM3",E43,0)</f>
        <v>0</v>
      </c>
      <c r="P43" s="32"/>
      <c r="Q43" s="35" t="n">
        <f aca="false">E43*INDEX(요약!$C$4:$C$7,MATCH($A43,요약!$A$4:$A$7,0))</f>
        <v>100</v>
      </c>
    </row>
    <row r="44" customFormat="false" ht="15" hidden="false" customHeight="false" outlineLevel="0" collapsed="false">
      <c r="A44" s="16" t="s">
        <v>16</v>
      </c>
      <c r="B44" s="16" t="s">
        <v>99</v>
      </c>
      <c r="C44" s="32" t="s">
        <v>58</v>
      </c>
      <c r="D44" s="32" t="s">
        <v>124</v>
      </c>
      <c r="E44" s="33" t="n">
        <v>6</v>
      </c>
      <c r="F44" s="20" t="n">
        <f aca="false">INDEX('Price List'!$I$3:$I$20,MATCH($C44,'Price List'!$C$3:$C$20,0))</f>
        <v>91200</v>
      </c>
      <c r="G44" s="20" t="n">
        <f aca="false">E44*F44</f>
        <v>547200</v>
      </c>
      <c r="H44" s="34" t="n">
        <f aca="false">E44*INDEX('Price List'!$K$3:$K$20,MATCH($C44,'Price List'!$C$3:$C$20,0))</f>
        <v>96</v>
      </c>
      <c r="I44" s="34" t="n">
        <f aca="false">E44*INDEX('Price List'!$L$3:$L$20,MATCH($C44,'Price List'!$C$3:$C$20,0))</f>
        <v>0</v>
      </c>
      <c r="J44" s="34" t="n">
        <f aca="false">E44*INDEX('Price List'!$M$3:$M$20,MATCH($C44,'Price List'!$C$3:$C$20,0))</f>
        <v>0</v>
      </c>
      <c r="K44" s="34" t="n">
        <f aca="false">I44+J44</f>
        <v>0</v>
      </c>
      <c r="L44" s="34" t="n">
        <f aca="false">E44*INDEX('Price List'!$O$3:$O$20,MATCH($C44,'Price List'!$C$3:$C$20,0))</f>
        <v>0</v>
      </c>
      <c r="M44" s="34" t="n">
        <f aca="false">E44*INDEX('Price List'!$P$3:$P$20,MATCH($C44,'Price List'!$C$3:$C$20,0))</f>
        <v>0</v>
      </c>
      <c r="N44" s="34" t="n">
        <f aca="false">E44*INDEX('Price List'!$Q$3:$Q$20,MATCH($C44,'Price List'!$C$3:$C$20,0))</f>
        <v>0</v>
      </c>
      <c r="O44" s="34" t="n">
        <f aca="false">IF(LEFT(C44,3)="TM3",E44,0)</f>
        <v>6</v>
      </c>
      <c r="P44" s="32"/>
      <c r="Q44" s="35" t="n">
        <f aca="false">E44*INDEX(요약!$C$4:$C$7,MATCH($A44,요약!$A$4:$A$7,0))</f>
        <v>600</v>
      </c>
    </row>
    <row r="45" customFormat="false" ht="15" hidden="false" customHeight="false" outlineLevel="0" collapsed="false">
      <c r="A45" s="16" t="s">
        <v>16</v>
      </c>
      <c r="B45" s="16" t="s">
        <v>99</v>
      </c>
      <c r="C45" s="32" t="s">
        <v>62</v>
      </c>
      <c r="D45" s="32" t="s">
        <v>125</v>
      </c>
      <c r="E45" s="33" t="n">
        <v>4</v>
      </c>
      <c r="F45" s="20" t="n">
        <f aca="false">INDEX('Price List'!$I$3:$I$20,MATCH($C45,'Price List'!$C$3:$C$20,0))</f>
        <v>90800</v>
      </c>
      <c r="G45" s="20" t="n">
        <f aca="false">E45*F45</f>
        <v>363200</v>
      </c>
      <c r="H45" s="34" t="n">
        <f aca="false">E45*INDEX('Price List'!$K$3:$K$20,MATCH($C45,'Price List'!$C$3:$C$20,0))</f>
        <v>0</v>
      </c>
      <c r="I45" s="34" t="n">
        <f aca="false">E45*INDEX('Price List'!$L$3:$L$20,MATCH($C45,'Price List'!$C$3:$C$20,0))</f>
        <v>0</v>
      </c>
      <c r="J45" s="34" t="n">
        <f aca="false">E45*INDEX('Price List'!$M$3:$M$20,MATCH($C45,'Price List'!$C$3:$C$20,0))</f>
        <v>64</v>
      </c>
      <c r="K45" s="34" t="n">
        <f aca="false">I45+J45</f>
        <v>64</v>
      </c>
      <c r="L45" s="34" t="n">
        <f aca="false">E45*INDEX('Price List'!$O$3:$O$20,MATCH($C45,'Price List'!$C$3:$C$20,0))</f>
        <v>0</v>
      </c>
      <c r="M45" s="34" t="n">
        <f aca="false">E45*INDEX('Price List'!$P$3:$P$20,MATCH($C45,'Price List'!$C$3:$C$20,0))</f>
        <v>0</v>
      </c>
      <c r="N45" s="34" t="n">
        <f aca="false">E45*INDEX('Price List'!$Q$3:$Q$20,MATCH($C45,'Price List'!$C$3:$C$20,0))</f>
        <v>0</v>
      </c>
      <c r="O45" s="34" t="n">
        <f aca="false">IF(LEFT(C45,3)="TM3",E45,0)</f>
        <v>4</v>
      </c>
      <c r="P45" s="32"/>
      <c r="Q45" s="35" t="n">
        <f aca="false">E45*INDEX(요약!$C$4:$C$7,MATCH($A45,요약!$A$4:$A$7,0))</f>
        <v>400</v>
      </c>
    </row>
    <row r="46" customFormat="false" ht="15" hidden="false" customHeight="false" outlineLevel="0" collapsed="false">
      <c r="A46" s="16" t="s">
        <v>16</v>
      </c>
      <c r="B46" s="16" t="s">
        <v>99</v>
      </c>
      <c r="C46" s="32" t="s">
        <v>82</v>
      </c>
      <c r="D46" s="32" t="s">
        <v>126</v>
      </c>
      <c r="E46" s="33" t="n">
        <v>1</v>
      </c>
      <c r="F46" s="20" t="n">
        <f aca="false">INDEX('Price List'!$I$3:$I$20,MATCH($C46,'Price List'!$C$3:$C$20,0))</f>
        <v>140400</v>
      </c>
      <c r="G46" s="20" t="n">
        <f aca="false">E46*F46</f>
        <v>140400</v>
      </c>
      <c r="H46" s="34" t="n">
        <f aca="false">E46*INDEX('Price List'!$K$3:$K$20,MATCH($C46,'Price List'!$C$3:$C$20,0))</f>
        <v>0</v>
      </c>
      <c r="I46" s="34" t="n">
        <f aca="false">E46*INDEX('Price List'!$L$3:$L$20,MATCH($C46,'Price List'!$C$3:$C$20,0))</f>
        <v>0</v>
      </c>
      <c r="J46" s="34" t="n">
        <f aca="false">E46*INDEX('Price List'!$M$3:$M$20,MATCH($C46,'Price List'!$C$3:$C$20,0))</f>
        <v>0</v>
      </c>
      <c r="K46" s="34" t="n">
        <f aca="false">I46+J46</f>
        <v>0</v>
      </c>
      <c r="L46" s="34" t="n">
        <f aca="false">E46*INDEX('Price List'!$O$3:$O$20,MATCH($C46,'Price List'!$C$3:$C$20,0))</f>
        <v>4</v>
      </c>
      <c r="M46" s="34" t="n">
        <f aca="false">E46*INDEX('Price List'!$P$3:$P$20,MATCH($C46,'Price List'!$C$3:$C$20,0))</f>
        <v>0</v>
      </c>
      <c r="N46" s="34" t="n">
        <f aca="false">E46*INDEX('Price List'!$Q$3:$Q$20,MATCH($C46,'Price List'!$C$3:$C$20,0))</f>
        <v>0</v>
      </c>
      <c r="O46" s="34" t="n">
        <f aca="false">IF(LEFT(C46,3)="TM3",E46,0)</f>
        <v>1</v>
      </c>
      <c r="P46" s="32"/>
      <c r="Q46" s="35" t="n">
        <f aca="false">E46*INDEX(요약!$C$4:$C$7,MATCH($A46,요약!$A$4:$A$7,0))</f>
        <v>100</v>
      </c>
    </row>
    <row r="47" customFormat="false" ht="15" hidden="false" customHeight="false" outlineLevel="0" collapsed="false">
      <c r="A47" s="9" t="s">
        <v>16</v>
      </c>
      <c r="B47" s="9" t="s">
        <v>99</v>
      </c>
      <c r="C47" s="36" t="s">
        <v>102</v>
      </c>
      <c r="D47" s="36" t="s">
        <v>103</v>
      </c>
      <c r="E47" s="36"/>
      <c r="F47" s="36"/>
      <c r="G47" s="10" t="n">
        <f aca="false">SUM(G43:G46)</f>
        <v>1449500</v>
      </c>
      <c r="H47" s="37" t="n">
        <f aca="false">SUM(H43:H46)</f>
        <v>110</v>
      </c>
      <c r="I47" s="37" t="n">
        <f aca="false">SUM(I43:I46)</f>
        <v>10</v>
      </c>
      <c r="J47" s="37" t="n">
        <f aca="false">SUM(J43:J46)</f>
        <v>64</v>
      </c>
      <c r="K47" s="37" t="n">
        <f aca="false">SUM(K43:K46)</f>
        <v>74</v>
      </c>
      <c r="L47" s="37" t="n">
        <f aca="false">SUM(L43:L46)</f>
        <v>4</v>
      </c>
      <c r="M47" s="37" t="n">
        <f aca="false">SUM(M43:M46)</f>
        <v>2</v>
      </c>
      <c r="N47" s="37" t="n">
        <f aca="false">SUM(N43:N46)</f>
        <v>1</v>
      </c>
      <c r="O47" s="37" t="n">
        <f aca="false">SUM(O43:O46)</f>
        <v>11</v>
      </c>
      <c r="P47" s="9" t="str">
        <f aca="false">IF(AND(H47&gt;=H42,K47&gt;=K42,J47&gt;=K42,L47&gt;=L42,M47&gt;=M42,N47&gt;=N42),IF(O47&gt;7,"OK (TM3 버스확장 필요)","OK"),"사양 미달")</f>
        <v>OK (TM3 버스확장 필요)</v>
      </c>
      <c r="Q47" s="36"/>
    </row>
    <row r="48" customFormat="false" ht="15" hidden="false" customHeight="false" outlineLevel="0" collapsed="false">
      <c r="A48" s="16" t="s">
        <v>16</v>
      </c>
      <c r="B48" s="16" t="s">
        <v>104</v>
      </c>
      <c r="C48" s="32" t="s">
        <v>48</v>
      </c>
      <c r="D48" s="32" t="s">
        <v>123</v>
      </c>
      <c r="E48" s="33" t="n">
        <v>1</v>
      </c>
      <c r="F48" s="20" t="n">
        <f aca="false">INDEX('Price List'!$I$3:$I$20,MATCH($C48,'Price List'!$C$3:$C$20,0))</f>
        <v>398700</v>
      </c>
      <c r="G48" s="20" t="n">
        <f aca="false">E48*F48</f>
        <v>398700</v>
      </c>
      <c r="H48" s="34" t="n">
        <f aca="false">E48*INDEX('Price List'!$K$3:$K$20,MATCH($C48,'Price List'!$C$3:$C$20,0))</f>
        <v>14</v>
      </c>
      <c r="I48" s="34" t="n">
        <f aca="false">E48*INDEX('Price List'!$L$3:$L$20,MATCH($C48,'Price List'!$C$3:$C$20,0))</f>
        <v>10</v>
      </c>
      <c r="J48" s="34" t="n">
        <f aca="false">E48*INDEX('Price List'!$M$3:$M$20,MATCH($C48,'Price List'!$C$3:$C$20,0))</f>
        <v>0</v>
      </c>
      <c r="K48" s="34" t="n">
        <f aca="false">I48+J48</f>
        <v>10</v>
      </c>
      <c r="L48" s="34" t="n">
        <f aca="false">E48*INDEX('Price List'!$O$3:$O$20,MATCH($C48,'Price List'!$C$3:$C$20,0))</f>
        <v>0</v>
      </c>
      <c r="M48" s="34" t="n">
        <f aca="false">E48*INDEX('Price List'!$P$3:$P$20,MATCH($C48,'Price List'!$C$3:$C$20,0))</f>
        <v>2</v>
      </c>
      <c r="N48" s="34" t="n">
        <f aca="false">E48*INDEX('Price List'!$Q$3:$Q$20,MATCH($C48,'Price List'!$C$3:$C$20,0))</f>
        <v>1</v>
      </c>
      <c r="O48" s="34" t="n">
        <f aca="false">IF(LEFT(C48,3)="TM3",E48,0)</f>
        <v>0</v>
      </c>
      <c r="P48" s="32"/>
      <c r="Q48" s="35" t="n">
        <f aca="false">E48*INDEX(요약!$C$4:$C$7,MATCH($A48,요약!$A$4:$A$7,0))</f>
        <v>100</v>
      </c>
    </row>
    <row r="49" customFormat="false" ht="15" hidden="false" customHeight="false" outlineLevel="0" collapsed="false">
      <c r="A49" s="16" t="s">
        <v>16</v>
      </c>
      <c r="B49" s="16" t="s">
        <v>104</v>
      </c>
      <c r="C49" s="32" t="s">
        <v>58</v>
      </c>
      <c r="D49" s="32" t="s">
        <v>124</v>
      </c>
      <c r="E49" s="33" t="n">
        <v>6</v>
      </c>
      <c r="F49" s="20" t="n">
        <f aca="false">INDEX('Price List'!$I$3:$I$20,MATCH($C49,'Price List'!$C$3:$C$20,0))</f>
        <v>91200</v>
      </c>
      <c r="G49" s="20" t="n">
        <f aca="false">E49*F49</f>
        <v>547200</v>
      </c>
      <c r="H49" s="34" t="n">
        <f aca="false">E49*INDEX('Price List'!$K$3:$K$20,MATCH($C49,'Price List'!$C$3:$C$20,0))</f>
        <v>96</v>
      </c>
      <c r="I49" s="34" t="n">
        <f aca="false">E49*INDEX('Price List'!$L$3:$L$20,MATCH($C49,'Price List'!$C$3:$C$20,0))</f>
        <v>0</v>
      </c>
      <c r="J49" s="34" t="n">
        <f aca="false">E49*INDEX('Price List'!$M$3:$M$20,MATCH($C49,'Price List'!$C$3:$C$20,0))</f>
        <v>0</v>
      </c>
      <c r="K49" s="34" t="n">
        <f aca="false">I49+J49</f>
        <v>0</v>
      </c>
      <c r="L49" s="34" t="n">
        <f aca="false">E49*INDEX('Price List'!$O$3:$O$20,MATCH($C49,'Price List'!$C$3:$C$20,0))</f>
        <v>0</v>
      </c>
      <c r="M49" s="34" t="n">
        <f aca="false">E49*INDEX('Price List'!$P$3:$P$20,MATCH($C49,'Price List'!$C$3:$C$20,0))</f>
        <v>0</v>
      </c>
      <c r="N49" s="34" t="n">
        <f aca="false">E49*INDEX('Price List'!$Q$3:$Q$20,MATCH($C49,'Price List'!$C$3:$C$20,0))</f>
        <v>0</v>
      </c>
      <c r="O49" s="34" t="n">
        <f aca="false">IF(LEFT(C49,3)="TM3",E49,0)</f>
        <v>6</v>
      </c>
      <c r="P49" s="32"/>
      <c r="Q49" s="35" t="n">
        <f aca="false">E49*INDEX(요약!$C$4:$C$7,MATCH($A49,요약!$A$4:$A$7,0))</f>
        <v>600</v>
      </c>
    </row>
    <row r="50" customFormat="false" ht="15" hidden="false" customHeight="false" outlineLevel="0" collapsed="false">
      <c r="A50" s="16" t="s">
        <v>16</v>
      </c>
      <c r="B50" s="16" t="s">
        <v>104</v>
      </c>
      <c r="C50" s="32" t="s">
        <v>62</v>
      </c>
      <c r="D50" s="32" t="s">
        <v>127</v>
      </c>
      <c r="E50" s="33" t="n">
        <v>4</v>
      </c>
      <c r="F50" s="20" t="n">
        <f aca="false">INDEX('Price List'!$I$3:$I$20,MATCH($C50,'Price List'!$C$3:$C$20,0))</f>
        <v>90800</v>
      </c>
      <c r="G50" s="20" t="n">
        <f aca="false">E50*F50</f>
        <v>363200</v>
      </c>
      <c r="H50" s="34" t="n">
        <f aca="false">E50*INDEX('Price List'!$K$3:$K$20,MATCH($C50,'Price List'!$C$3:$C$20,0))</f>
        <v>0</v>
      </c>
      <c r="I50" s="34" t="n">
        <f aca="false">E50*INDEX('Price List'!$L$3:$L$20,MATCH($C50,'Price List'!$C$3:$C$20,0))</f>
        <v>0</v>
      </c>
      <c r="J50" s="34" t="n">
        <f aca="false">E50*INDEX('Price List'!$M$3:$M$20,MATCH($C50,'Price List'!$C$3:$C$20,0))</f>
        <v>64</v>
      </c>
      <c r="K50" s="34" t="n">
        <f aca="false">I50+J50</f>
        <v>64</v>
      </c>
      <c r="L50" s="34" t="n">
        <f aca="false">E50*INDEX('Price List'!$O$3:$O$20,MATCH($C50,'Price List'!$C$3:$C$20,0))</f>
        <v>0</v>
      </c>
      <c r="M50" s="34" t="n">
        <f aca="false">E50*INDEX('Price List'!$P$3:$P$20,MATCH($C50,'Price List'!$C$3:$C$20,0))</f>
        <v>0</v>
      </c>
      <c r="N50" s="34" t="n">
        <f aca="false">E50*INDEX('Price List'!$Q$3:$Q$20,MATCH($C50,'Price List'!$C$3:$C$20,0))</f>
        <v>0</v>
      </c>
      <c r="O50" s="34" t="n">
        <f aca="false">IF(LEFT(C50,3)="TM3",E50,0)</f>
        <v>4</v>
      </c>
      <c r="P50" s="32"/>
      <c r="Q50" s="35" t="n">
        <f aca="false">E50*INDEX(요약!$C$4:$C$7,MATCH($A50,요약!$A$4:$A$7,0))</f>
        <v>400</v>
      </c>
    </row>
    <row r="51" customFormat="false" ht="15" hidden="false" customHeight="false" outlineLevel="0" collapsed="false">
      <c r="A51" s="16" t="s">
        <v>16</v>
      </c>
      <c r="B51" s="16" t="s">
        <v>104</v>
      </c>
      <c r="C51" s="32" t="s">
        <v>82</v>
      </c>
      <c r="D51" s="32" t="s">
        <v>126</v>
      </c>
      <c r="E51" s="33" t="n">
        <v>1</v>
      </c>
      <c r="F51" s="20" t="n">
        <f aca="false">INDEX('Price List'!$I$3:$I$20,MATCH($C51,'Price List'!$C$3:$C$20,0))</f>
        <v>140400</v>
      </c>
      <c r="G51" s="20" t="n">
        <f aca="false">E51*F51</f>
        <v>140400</v>
      </c>
      <c r="H51" s="34" t="n">
        <f aca="false">E51*INDEX('Price List'!$K$3:$K$20,MATCH($C51,'Price List'!$C$3:$C$20,0))</f>
        <v>0</v>
      </c>
      <c r="I51" s="34" t="n">
        <f aca="false">E51*INDEX('Price List'!$L$3:$L$20,MATCH($C51,'Price List'!$C$3:$C$20,0))</f>
        <v>0</v>
      </c>
      <c r="J51" s="34" t="n">
        <f aca="false">E51*INDEX('Price List'!$M$3:$M$20,MATCH($C51,'Price List'!$C$3:$C$20,0))</f>
        <v>0</v>
      </c>
      <c r="K51" s="34" t="n">
        <f aca="false">I51+J51</f>
        <v>0</v>
      </c>
      <c r="L51" s="34" t="n">
        <f aca="false">E51*INDEX('Price List'!$O$3:$O$20,MATCH($C51,'Price List'!$C$3:$C$20,0))</f>
        <v>4</v>
      </c>
      <c r="M51" s="34" t="n">
        <f aca="false">E51*INDEX('Price List'!$P$3:$P$20,MATCH($C51,'Price List'!$C$3:$C$20,0))</f>
        <v>0</v>
      </c>
      <c r="N51" s="34" t="n">
        <f aca="false">E51*INDEX('Price List'!$Q$3:$Q$20,MATCH($C51,'Price List'!$C$3:$C$20,0))</f>
        <v>0</v>
      </c>
      <c r="O51" s="34" t="n">
        <f aca="false">IF(LEFT(C51,3)="TM3",E51,0)</f>
        <v>1</v>
      </c>
      <c r="P51" s="32"/>
      <c r="Q51" s="35" t="n">
        <f aca="false">E51*INDEX(요약!$C$4:$C$7,MATCH($A51,요약!$A$4:$A$7,0))</f>
        <v>100</v>
      </c>
    </row>
    <row r="52" customFormat="false" ht="15" hidden="false" customHeight="false" outlineLevel="0" collapsed="false">
      <c r="A52" s="9" t="s">
        <v>16</v>
      </c>
      <c r="B52" s="9" t="s">
        <v>104</v>
      </c>
      <c r="C52" s="36" t="s">
        <v>102</v>
      </c>
      <c r="D52" s="36" t="s">
        <v>106</v>
      </c>
      <c r="E52" s="36"/>
      <c r="F52" s="36"/>
      <c r="G52" s="10" t="n">
        <f aca="false">SUM(G48:G51)</f>
        <v>1449500</v>
      </c>
      <c r="H52" s="37" t="n">
        <f aca="false">SUM(H48:H51)</f>
        <v>110</v>
      </c>
      <c r="I52" s="37" t="n">
        <f aca="false">SUM(I48:I51)</f>
        <v>10</v>
      </c>
      <c r="J52" s="37" t="n">
        <f aca="false">SUM(J48:J51)</f>
        <v>64</v>
      </c>
      <c r="K52" s="37" t="n">
        <f aca="false">SUM(K48:K51)</f>
        <v>74</v>
      </c>
      <c r="L52" s="37" t="n">
        <f aca="false">SUM(L48:L51)</f>
        <v>4</v>
      </c>
      <c r="M52" s="37" t="n">
        <f aca="false">SUM(M48:M51)</f>
        <v>2</v>
      </c>
      <c r="N52" s="37" t="n">
        <f aca="false">SUM(N48:N51)</f>
        <v>1</v>
      </c>
      <c r="O52" s="37" t="n">
        <f aca="false">SUM(O48:O51)</f>
        <v>11</v>
      </c>
      <c r="P52" s="9" t="str">
        <f aca="false">IF(AND(H52&gt;=H42,K52&gt;=K42,J52&gt;=K42,L52&gt;=L42,M52&gt;=M42,N52&gt;=N42),IF(O52&gt;7,"OK (TM3 버스확장 필요)","OK"),"사양 미달")</f>
        <v>OK (TM3 버스확장 필요)</v>
      </c>
      <c r="Q52" s="36"/>
    </row>
    <row r="53" customFormat="false" ht="15" hidden="false" customHeight="false" outlineLevel="0" collapsed="false">
      <c r="A53" s="16" t="s">
        <v>16</v>
      </c>
      <c r="B53" s="16" t="s">
        <v>107</v>
      </c>
      <c r="C53" s="32" t="s">
        <v>48</v>
      </c>
      <c r="D53" s="32" t="s">
        <v>128</v>
      </c>
      <c r="E53" s="33" t="n">
        <v>1</v>
      </c>
      <c r="F53" s="20" t="n">
        <f aca="false">INDEX('Price List'!$I$3:$I$20,MATCH($C53,'Price List'!$C$3:$C$20,0))</f>
        <v>398700</v>
      </c>
      <c r="G53" s="20" t="n">
        <f aca="false">E53*F53</f>
        <v>398700</v>
      </c>
      <c r="H53" s="34" t="n">
        <f aca="false">E53*INDEX('Price List'!$K$3:$K$20,MATCH($C53,'Price List'!$C$3:$C$20,0))</f>
        <v>14</v>
      </c>
      <c r="I53" s="34" t="n">
        <f aca="false">E53*INDEX('Price List'!$L$3:$L$20,MATCH($C53,'Price List'!$C$3:$C$20,0))</f>
        <v>10</v>
      </c>
      <c r="J53" s="34" t="n">
        <f aca="false">E53*INDEX('Price List'!$M$3:$M$20,MATCH($C53,'Price List'!$C$3:$C$20,0))</f>
        <v>0</v>
      </c>
      <c r="K53" s="34" t="n">
        <f aca="false">I53+J53</f>
        <v>10</v>
      </c>
      <c r="L53" s="34" t="n">
        <f aca="false">E53*INDEX('Price List'!$O$3:$O$20,MATCH($C53,'Price List'!$C$3:$C$20,0))</f>
        <v>0</v>
      </c>
      <c r="M53" s="34" t="n">
        <f aca="false">E53*INDEX('Price List'!$P$3:$P$20,MATCH($C53,'Price List'!$C$3:$C$20,0))</f>
        <v>2</v>
      </c>
      <c r="N53" s="34" t="n">
        <f aca="false">E53*INDEX('Price List'!$Q$3:$Q$20,MATCH($C53,'Price List'!$C$3:$C$20,0))</f>
        <v>1</v>
      </c>
      <c r="O53" s="34" t="n">
        <f aca="false">IF(LEFT(C53,3)="TM3",E53,0)</f>
        <v>0</v>
      </c>
      <c r="P53" s="32"/>
      <c r="Q53" s="35" t="n">
        <f aca="false">E53*INDEX(요약!$C$4:$C$7,MATCH($A53,요약!$A$4:$A$7,0))</f>
        <v>100</v>
      </c>
    </row>
    <row r="54" customFormat="false" ht="15" hidden="false" customHeight="false" outlineLevel="0" collapsed="false">
      <c r="A54" s="16" t="s">
        <v>16</v>
      </c>
      <c r="B54" s="16" t="s">
        <v>107</v>
      </c>
      <c r="C54" s="32" t="s">
        <v>58</v>
      </c>
      <c r="D54" s="32" t="s">
        <v>124</v>
      </c>
      <c r="E54" s="33" t="n">
        <v>6</v>
      </c>
      <c r="F54" s="20" t="n">
        <f aca="false">INDEX('Price List'!$I$3:$I$20,MATCH($C54,'Price List'!$C$3:$C$20,0))</f>
        <v>91200</v>
      </c>
      <c r="G54" s="20" t="n">
        <f aca="false">E54*F54</f>
        <v>547200</v>
      </c>
      <c r="H54" s="34" t="n">
        <f aca="false">E54*INDEX('Price List'!$K$3:$K$20,MATCH($C54,'Price List'!$C$3:$C$20,0))</f>
        <v>96</v>
      </c>
      <c r="I54" s="34" t="n">
        <f aca="false">E54*INDEX('Price List'!$L$3:$L$20,MATCH($C54,'Price List'!$C$3:$C$20,0))</f>
        <v>0</v>
      </c>
      <c r="J54" s="34" t="n">
        <f aca="false">E54*INDEX('Price List'!$M$3:$M$20,MATCH($C54,'Price List'!$C$3:$C$20,0))</f>
        <v>0</v>
      </c>
      <c r="K54" s="34" t="n">
        <f aca="false">I54+J54</f>
        <v>0</v>
      </c>
      <c r="L54" s="34" t="n">
        <f aca="false">E54*INDEX('Price List'!$O$3:$O$20,MATCH($C54,'Price List'!$C$3:$C$20,0))</f>
        <v>0</v>
      </c>
      <c r="M54" s="34" t="n">
        <f aca="false">E54*INDEX('Price List'!$P$3:$P$20,MATCH($C54,'Price List'!$C$3:$C$20,0))</f>
        <v>0</v>
      </c>
      <c r="N54" s="34" t="n">
        <f aca="false">E54*INDEX('Price List'!$Q$3:$Q$20,MATCH($C54,'Price List'!$C$3:$C$20,0))</f>
        <v>0</v>
      </c>
      <c r="O54" s="34" t="n">
        <f aca="false">IF(LEFT(C54,3)="TM3",E54,0)</f>
        <v>6</v>
      </c>
      <c r="P54" s="32"/>
      <c r="Q54" s="35" t="n">
        <f aca="false">E54*INDEX(요약!$C$4:$C$7,MATCH($A54,요약!$A$4:$A$7,0))</f>
        <v>600</v>
      </c>
    </row>
    <row r="55" customFormat="false" ht="15" hidden="false" customHeight="false" outlineLevel="0" collapsed="false">
      <c r="A55" s="16" t="s">
        <v>16</v>
      </c>
      <c r="B55" s="16" t="s">
        <v>107</v>
      </c>
      <c r="C55" s="32" t="s">
        <v>62</v>
      </c>
      <c r="D55" s="32" t="s">
        <v>125</v>
      </c>
      <c r="E55" s="33" t="n">
        <v>4</v>
      </c>
      <c r="F55" s="20" t="n">
        <f aca="false">INDEX('Price List'!$I$3:$I$20,MATCH($C55,'Price List'!$C$3:$C$20,0))</f>
        <v>90800</v>
      </c>
      <c r="G55" s="20" t="n">
        <f aca="false">E55*F55</f>
        <v>363200</v>
      </c>
      <c r="H55" s="34" t="n">
        <f aca="false">E55*INDEX('Price List'!$K$3:$K$20,MATCH($C55,'Price List'!$C$3:$C$20,0))</f>
        <v>0</v>
      </c>
      <c r="I55" s="34" t="n">
        <f aca="false">E55*INDEX('Price List'!$L$3:$L$20,MATCH($C55,'Price List'!$C$3:$C$20,0))</f>
        <v>0</v>
      </c>
      <c r="J55" s="34" t="n">
        <f aca="false">E55*INDEX('Price List'!$M$3:$M$20,MATCH($C55,'Price List'!$C$3:$C$20,0))</f>
        <v>64</v>
      </c>
      <c r="K55" s="34" t="n">
        <f aca="false">I55+J55</f>
        <v>64</v>
      </c>
      <c r="L55" s="34" t="n">
        <f aca="false">E55*INDEX('Price List'!$O$3:$O$20,MATCH($C55,'Price List'!$C$3:$C$20,0))</f>
        <v>0</v>
      </c>
      <c r="M55" s="34" t="n">
        <f aca="false">E55*INDEX('Price List'!$P$3:$P$20,MATCH($C55,'Price List'!$C$3:$C$20,0))</f>
        <v>0</v>
      </c>
      <c r="N55" s="34" t="n">
        <f aca="false">E55*INDEX('Price List'!$Q$3:$Q$20,MATCH($C55,'Price List'!$C$3:$C$20,0))</f>
        <v>0</v>
      </c>
      <c r="O55" s="34" t="n">
        <f aca="false">IF(LEFT(C55,3)="TM3",E55,0)</f>
        <v>4</v>
      </c>
      <c r="P55" s="32"/>
      <c r="Q55" s="35" t="n">
        <f aca="false">E55*INDEX(요약!$C$4:$C$7,MATCH($A55,요약!$A$4:$A$7,0))</f>
        <v>400</v>
      </c>
    </row>
    <row r="56" customFormat="false" ht="15" hidden="false" customHeight="false" outlineLevel="0" collapsed="false">
      <c r="A56" s="16" t="s">
        <v>16</v>
      </c>
      <c r="B56" s="16" t="s">
        <v>107</v>
      </c>
      <c r="C56" s="32" t="s">
        <v>82</v>
      </c>
      <c r="D56" s="32" t="s">
        <v>126</v>
      </c>
      <c r="E56" s="33" t="n">
        <v>1</v>
      </c>
      <c r="F56" s="20" t="n">
        <f aca="false">INDEX('Price List'!$I$3:$I$20,MATCH($C56,'Price List'!$C$3:$C$20,0))</f>
        <v>140400</v>
      </c>
      <c r="G56" s="20" t="n">
        <f aca="false">E56*F56</f>
        <v>140400</v>
      </c>
      <c r="H56" s="34" t="n">
        <f aca="false">E56*INDEX('Price List'!$K$3:$K$20,MATCH($C56,'Price List'!$C$3:$C$20,0))</f>
        <v>0</v>
      </c>
      <c r="I56" s="34" t="n">
        <f aca="false">E56*INDEX('Price List'!$L$3:$L$20,MATCH($C56,'Price List'!$C$3:$C$20,0))</f>
        <v>0</v>
      </c>
      <c r="J56" s="34" t="n">
        <f aca="false">E56*INDEX('Price List'!$M$3:$M$20,MATCH($C56,'Price List'!$C$3:$C$20,0))</f>
        <v>0</v>
      </c>
      <c r="K56" s="34" t="n">
        <f aca="false">I56+J56</f>
        <v>0</v>
      </c>
      <c r="L56" s="34" t="n">
        <f aca="false">E56*INDEX('Price List'!$O$3:$O$20,MATCH($C56,'Price List'!$C$3:$C$20,0))</f>
        <v>4</v>
      </c>
      <c r="M56" s="34" t="n">
        <f aca="false">E56*INDEX('Price List'!$P$3:$P$20,MATCH($C56,'Price List'!$C$3:$C$20,0))</f>
        <v>0</v>
      </c>
      <c r="N56" s="34" t="n">
        <f aca="false">E56*INDEX('Price List'!$Q$3:$Q$20,MATCH($C56,'Price List'!$C$3:$C$20,0))</f>
        <v>0</v>
      </c>
      <c r="O56" s="34" t="n">
        <f aca="false">IF(LEFT(C56,3)="TM3",E56,0)</f>
        <v>1</v>
      </c>
      <c r="P56" s="32"/>
      <c r="Q56" s="35" t="n">
        <f aca="false">E56*INDEX(요약!$C$4:$C$7,MATCH($A56,요약!$A$4:$A$7,0))</f>
        <v>100</v>
      </c>
    </row>
    <row r="57" customFormat="false" ht="15" hidden="false" customHeight="false" outlineLevel="0" collapsed="false">
      <c r="A57" s="9" t="s">
        <v>16</v>
      </c>
      <c r="B57" s="9" t="s">
        <v>107</v>
      </c>
      <c r="C57" s="36" t="s">
        <v>102</v>
      </c>
      <c r="D57" s="36" t="s">
        <v>109</v>
      </c>
      <c r="E57" s="36"/>
      <c r="F57" s="36"/>
      <c r="G57" s="10" t="n">
        <f aca="false">SUM(G53:G56)</f>
        <v>1449500</v>
      </c>
      <c r="H57" s="37" t="n">
        <f aca="false">SUM(H53:H56)</f>
        <v>110</v>
      </c>
      <c r="I57" s="37" t="n">
        <f aca="false">SUM(I53:I56)</f>
        <v>10</v>
      </c>
      <c r="J57" s="37" t="n">
        <f aca="false">SUM(J53:J56)</f>
        <v>64</v>
      </c>
      <c r="K57" s="37" t="n">
        <f aca="false">SUM(K53:K56)</f>
        <v>74</v>
      </c>
      <c r="L57" s="37" t="n">
        <f aca="false">SUM(L53:L56)</f>
        <v>4</v>
      </c>
      <c r="M57" s="37" t="n">
        <f aca="false">SUM(M53:M56)</f>
        <v>2</v>
      </c>
      <c r="N57" s="37" t="n">
        <f aca="false">SUM(N53:N56)</f>
        <v>1</v>
      </c>
      <c r="O57" s="37" t="n">
        <f aca="false">SUM(O53:O56)</f>
        <v>11</v>
      </c>
      <c r="P57" s="9" t="str">
        <f aca="false">IF(AND(H57&gt;=H42,K57&gt;=K42,J57&gt;=K42,L57&gt;=L42,M57&gt;=M42,N57&gt;=N42),IF(O57&gt;7,"OK (TM3 버스확장 필요)","OK"),"사양 미달")</f>
        <v>OK (TM3 버스확장 필요)</v>
      </c>
      <c r="Q57" s="36"/>
    </row>
  </sheetData>
  <mergeCells count="6">
    <mergeCell ref="A1:Q1"/>
    <mergeCell ref="A2:Q2"/>
    <mergeCell ref="A5:Q5"/>
    <mergeCell ref="A15:Q15"/>
    <mergeCell ref="A28:Q28"/>
    <mergeCell ref="A41:Q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5"/>
  </cols>
  <sheetData>
    <row r="1" customFormat="false" ht="17.15" hidden="false" customHeight="fals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</row>
    <row r="2" customFormat="false" ht="13.4" hidden="false" customHeight="false" outlineLevel="0" collapsed="false">
      <c r="A2" s="38" t="s">
        <v>130</v>
      </c>
      <c r="B2" s="38"/>
      <c r="C2" s="38"/>
      <c r="D2" s="38"/>
      <c r="E2" s="38"/>
      <c r="F2" s="38"/>
      <c r="G2" s="38"/>
      <c r="H2" s="38"/>
      <c r="I2" s="38"/>
    </row>
    <row r="3" customFormat="false" ht="15" hidden="false" customHeight="true" outlineLevel="0" collapsed="false">
      <c r="A3" s="15" t="s">
        <v>30</v>
      </c>
      <c r="B3" s="2" t="s">
        <v>46</v>
      </c>
      <c r="C3" s="2" t="s">
        <v>90</v>
      </c>
      <c r="D3" s="2" t="s">
        <v>131</v>
      </c>
      <c r="E3" s="2"/>
      <c r="F3" s="2" t="s">
        <v>132</v>
      </c>
      <c r="G3" s="2"/>
      <c r="H3" s="2" t="s">
        <v>133</v>
      </c>
      <c r="I3" s="2"/>
    </row>
    <row r="4" customFormat="false" ht="15" hidden="false" customHeight="false" outlineLevel="0" collapsed="false">
      <c r="A4" s="15"/>
      <c r="B4" s="15"/>
      <c r="C4" s="15"/>
      <c r="D4" s="2" t="s">
        <v>134</v>
      </c>
      <c r="E4" s="2" t="s">
        <v>135</v>
      </c>
      <c r="F4" s="2" t="s">
        <v>134</v>
      </c>
      <c r="G4" s="2" t="s">
        <v>135</v>
      </c>
      <c r="H4" s="2" t="s">
        <v>134</v>
      </c>
      <c r="I4" s="2" t="s">
        <v>135</v>
      </c>
    </row>
    <row r="5" customFormat="false" ht="15" hidden="false" customHeight="false" outlineLevel="0" collapsed="false">
      <c r="A5" s="39" t="str">
        <f aca="false">'Price List'!C3</f>
        <v>TM241CE24T</v>
      </c>
      <c r="B5" s="39" t="str">
        <f aca="false">'Price List'!R3</f>
        <v>CPU, Ethernet, 24VDC</v>
      </c>
      <c r="C5" s="40" t="n">
        <f aca="false">'Price List'!I3</f>
        <v>398700</v>
      </c>
      <c r="D5" s="20" t="n">
        <f aca="false">SUMIFS('기준사양 매칭'!$Q$5:$Q$200,'기준사양 매칭'!$C$5:$C$200,$A5,'기준사양 매칭'!$B$5:$B$200,"A")</f>
        <v>100</v>
      </c>
      <c r="E5" s="20" t="n">
        <f aca="false">D5*$C5</f>
        <v>39870000</v>
      </c>
      <c r="F5" s="20" t="n">
        <f aca="false">SUMIFS('기준사양 매칭'!$Q$5:$Q$200,'기준사양 매칭'!$C$5:$C$200,$A5,'기준사양 매칭'!$B$5:$B$200,"B")</f>
        <v>100</v>
      </c>
      <c r="G5" s="20" t="n">
        <f aca="false">F5*$C5</f>
        <v>39870000</v>
      </c>
      <c r="H5" s="20" t="n">
        <f aca="false">SUMIFS('기준사양 매칭'!$Q$5:$Q$200,'기준사양 매칭'!$C$5:$C$200,$A5,'기준사양 매칭'!$B$5:$B$200,"C")</f>
        <v>100</v>
      </c>
      <c r="I5" s="20" t="n">
        <f aca="false">H5*$C5</f>
        <v>39870000</v>
      </c>
    </row>
    <row r="6" customFormat="false" ht="15" hidden="false" customHeight="false" outlineLevel="0" collapsed="false">
      <c r="A6" s="39" t="str">
        <f aca="false">'Price List'!C4</f>
        <v>TM241C24T</v>
      </c>
      <c r="B6" s="39" t="str">
        <f aca="false">'Price List'!R4</f>
        <v>CPU, 24VDC</v>
      </c>
      <c r="C6" s="40" t="n">
        <f aca="false">'Price List'!I4</f>
        <v>392850</v>
      </c>
      <c r="D6" s="20" t="n">
        <f aca="false">SUMIFS('기준사양 매칭'!$Q$5:$Q$200,'기준사양 매칭'!$C$5:$C$200,$A6,'기준사양 매칭'!$B$5:$B$200,"A")</f>
        <v>550</v>
      </c>
      <c r="E6" s="20" t="n">
        <f aca="false">D6*$C6</f>
        <v>216067500</v>
      </c>
      <c r="F6" s="20" t="n">
        <f aca="false">SUMIFS('기준사양 매칭'!$Q$5:$Q$200,'기준사양 매칭'!$C$5:$C$200,$A6,'기준사양 매칭'!$B$5:$B$200,"B")</f>
        <v>250</v>
      </c>
      <c r="G6" s="20" t="n">
        <f aca="false">F6*$C6</f>
        <v>98212500</v>
      </c>
      <c r="H6" s="20" t="n">
        <f aca="false">SUMIFS('기준사양 매칭'!$Q$5:$Q$200,'기준사양 매칭'!$C$5:$C$200,$A6,'기준사양 매칭'!$B$5:$B$200,"C")</f>
        <v>0</v>
      </c>
      <c r="I6" s="20" t="n">
        <f aca="false">H6*$C6</f>
        <v>0</v>
      </c>
    </row>
    <row r="7" customFormat="false" ht="15" hidden="false" customHeight="false" outlineLevel="0" collapsed="false">
      <c r="A7" s="39" t="str">
        <f aca="false">'Price List'!C5</f>
        <v>TM241C24R</v>
      </c>
      <c r="B7" s="39" t="str">
        <f aca="false">'Price List'!R5</f>
        <v>CPU, 100-240VAC</v>
      </c>
      <c r="C7" s="40" t="n">
        <f aca="false">'Price List'!I5</f>
        <v>384750</v>
      </c>
      <c r="D7" s="20" t="n">
        <f aca="false">SUMIFS('기준사양 매칭'!$Q$5:$Q$200,'기준사양 매칭'!$C$5:$C$200,$A7,'기준사양 매칭'!$B$5:$B$200,"A")</f>
        <v>0</v>
      </c>
      <c r="E7" s="20" t="n">
        <f aca="false">D7*$C7</f>
        <v>0</v>
      </c>
      <c r="F7" s="20" t="n">
        <f aca="false">SUMIFS('기준사양 매칭'!$Q$5:$Q$200,'기준사양 매칭'!$C$5:$C$200,$A7,'기준사양 매칭'!$B$5:$B$200,"B")</f>
        <v>0</v>
      </c>
      <c r="G7" s="20" t="n">
        <f aca="false">F7*$C7</f>
        <v>0</v>
      </c>
      <c r="H7" s="20" t="n">
        <f aca="false">SUMIFS('기준사양 매칭'!$Q$5:$Q$200,'기준사양 매칭'!$C$5:$C$200,$A7,'기준사양 매칭'!$B$5:$B$200,"C")</f>
        <v>250</v>
      </c>
      <c r="I7" s="20" t="n">
        <f aca="false">H7*$C7</f>
        <v>96187500</v>
      </c>
    </row>
    <row r="8" customFormat="false" ht="15" hidden="false" customHeight="false" outlineLevel="0" collapsed="false">
      <c r="A8" s="39" t="str">
        <f aca="false">'Price List'!C6</f>
        <v>TM241C40T</v>
      </c>
      <c r="B8" s="39" t="str">
        <f aca="false">'Price List'!R6</f>
        <v>CPU, 24VDC</v>
      </c>
      <c r="C8" s="40" t="n">
        <f aca="false">'Price List'!I6</f>
        <v>417600</v>
      </c>
      <c r="D8" s="20" t="n">
        <f aca="false">SUMIFS('기준사양 매칭'!$Q$5:$Q$200,'기준사양 매칭'!$C$5:$C$200,$A8,'기준사양 매칭'!$B$5:$B$200,"A")</f>
        <v>0</v>
      </c>
      <c r="E8" s="20" t="n">
        <f aca="false">D8*$C8</f>
        <v>0</v>
      </c>
      <c r="F8" s="20" t="n">
        <f aca="false">SUMIFS('기준사양 매칭'!$Q$5:$Q$200,'기준사양 매칭'!$C$5:$C$200,$A8,'기준사양 매칭'!$B$5:$B$200,"B")</f>
        <v>300</v>
      </c>
      <c r="G8" s="20" t="n">
        <f aca="false">F8*$C8</f>
        <v>125280000</v>
      </c>
      <c r="H8" s="20" t="n">
        <f aca="false">SUMIFS('기준사양 매칭'!$Q$5:$Q$200,'기준사양 매칭'!$C$5:$C$200,$A8,'기준사양 매칭'!$B$5:$B$200,"C")</f>
        <v>0</v>
      </c>
      <c r="I8" s="20" t="n">
        <f aca="false">H8*$C8</f>
        <v>0</v>
      </c>
    </row>
    <row r="9" customFormat="false" ht="15" hidden="false" customHeight="false" outlineLevel="0" collapsed="false">
      <c r="A9" s="39" t="str">
        <f aca="false">'Price List'!C7</f>
        <v>TM241C40R</v>
      </c>
      <c r="B9" s="39" t="str">
        <f aca="false">'Price List'!R7</f>
        <v>CPU, 100-240VAC</v>
      </c>
      <c r="C9" s="40" t="n">
        <f aca="false">'Price List'!I7</f>
        <v>406350</v>
      </c>
      <c r="D9" s="20" t="n">
        <f aca="false">SUMIFS('기준사양 매칭'!$Q$5:$Q$200,'기준사양 매칭'!$C$5:$C$200,$A9,'기준사양 매칭'!$B$5:$B$200,"A")</f>
        <v>0</v>
      </c>
      <c r="E9" s="20" t="n">
        <f aca="false">D9*$C9</f>
        <v>0</v>
      </c>
      <c r="F9" s="20" t="n">
        <f aca="false">SUMIFS('기준사양 매칭'!$Q$5:$Q$200,'기준사양 매칭'!$C$5:$C$200,$A9,'기준사양 매칭'!$B$5:$B$200,"B")</f>
        <v>0</v>
      </c>
      <c r="G9" s="20" t="n">
        <f aca="false">F9*$C9</f>
        <v>0</v>
      </c>
      <c r="H9" s="20" t="n">
        <f aca="false">SUMIFS('기준사양 매칭'!$Q$5:$Q$200,'기준사양 매칭'!$C$5:$C$200,$A9,'기준사양 매칭'!$B$5:$B$200,"C")</f>
        <v>300</v>
      </c>
      <c r="I9" s="20" t="n">
        <f aca="false">H9*$C9</f>
        <v>121905000</v>
      </c>
    </row>
    <row r="10" customFormat="false" ht="15" hidden="false" customHeight="false" outlineLevel="0" collapsed="false">
      <c r="A10" s="39" t="str">
        <f aca="false">'Price List'!C8</f>
        <v>TM3DI16</v>
      </c>
      <c r="B10" s="39" t="str">
        <f aca="false">'Price List'!R8</f>
        <v>DI 16</v>
      </c>
      <c r="C10" s="40" t="n">
        <f aca="false">'Price List'!I8</f>
        <v>91200</v>
      </c>
      <c r="D10" s="20" t="n">
        <f aca="false">SUMIFS('기준사양 매칭'!$Q$5:$Q$200,'기준사양 매칭'!$C$5:$C$200,$A10,'기준사양 매칭'!$B$5:$B$200,"A")</f>
        <v>600</v>
      </c>
      <c r="E10" s="20" t="n">
        <f aca="false">D10*$C10</f>
        <v>54720000</v>
      </c>
      <c r="F10" s="20" t="n">
        <f aca="false">SUMIFS('기준사양 매칭'!$Q$5:$Q$200,'기준사양 매칭'!$C$5:$C$200,$A10,'기준사양 매칭'!$B$5:$B$200,"B")</f>
        <v>600</v>
      </c>
      <c r="G10" s="20" t="n">
        <f aca="false">F10*$C10</f>
        <v>54720000</v>
      </c>
      <c r="H10" s="20" t="n">
        <f aca="false">SUMIFS('기준사양 매칭'!$Q$5:$Q$200,'기준사양 매칭'!$C$5:$C$200,$A10,'기준사양 매칭'!$B$5:$B$200,"C")</f>
        <v>600</v>
      </c>
      <c r="I10" s="20" t="n">
        <f aca="false">H10*$C10</f>
        <v>54720000</v>
      </c>
    </row>
    <row r="11" customFormat="false" ht="15" hidden="false" customHeight="false" outlineLevel="0" collapsed="false">
      <c r="A11" s="39" t="str">
        <f aca="false">'Price List'!C9</f>
        <v>TM3DI8</v>
      </c>
      <c r="B11" s="39" t="str">
        <f aca="false">'Price List'!R9</f>
        <v>DI 8</v>
      </c>
      <c r="C11" s="40" t="n">
        <f aca="false">'Price List'!I9</f>
        <v>80800</v>
      </c>
      <c r="D11" s="20" t="n">
        <f aca="false">SUMIFS('기준사양 매칭'!$Q$5:$Q$200,'기준사양 매칭'!$C$5:$C$200,$A11,'기준사양 매칭'!$B$5:$B$200,"A")</f>
        <v>0</v>
      </c>
      <c r="E11" s="20" t="n">
        <f aca="false">D11*$C11</f>
        <v>0</v>
      </c>
      <c r="F11" s="20" t="n">
        <f aca="false">SUMIFS('기준사양 매칭'!$Q$5:$Q$200,'기준사양 매칭'!$C$5:$C$200,$A11,'기준사양 매칭'!$B$5:$B$200,"B")</f>
        <v>0</v>
      </c>
      <c r="G11" s="20" t="n">
        <f aca="false">F11*$C11</f>
        <v>0</v>
      </c>
      <c r="H11" s="20" t="n">
        <f aca="false">SUMIFS('기준사양 매칭'!$Q$5:$Q$200,'기준사양 매칭'!$C$5:$C$200,$A11,'기준사양 매칭'!$B$5:$B$200,"C")</f>
        <v>0</v>
      </c>
      <c r="I11" s="20" t="n">
        <f aca="false">H11*$C11</f>
        <v>0</v>
      </c>
    </row>
    <row r="12" customFormat="false" ht="15" hidden="false" customHeight="false" outlineLevel="0" collapsed="false">
      <c r="A12" s="39" t="str">
        <f aca="false">'Price List'!C10</f>
        <v>TM3DQ16R</v>
      </c>
      <c r="B12" s="39" t="str">
        <f aca="false">'Price List'!R10</f>
        <v>DO 16 Relay</v>
      </c>
      <c r="C12" s="40" t="n">
        <f aca="false">'Price List'!I10</f>
        <v>90800</v>
      </c>
      <c r="D12" s="20" t="n">
        <f aca="false">SUMIFS('기준사양 매칭'!$Q$5:$Q$200,'기준사양 매칭'!$C$5:$C$200,$A12,'기준사양 매칭'!$B$5:$B$200,"A")</f>
        <v>700</v>
      </c>
      <c r="E12" s="20" t="n">
        <f aca="false">D12*$C12</f>
        <v>63560000</v>
      </c>
      <c r="F12" s="20" t="n">
        <f aca="false">SUMIFS('기준사양 매칭'!$Q$5:$Q$200,'기준사양 매칭'!$C$5:$C$200,$A12,'기준사양 매칭'!$B$5:$B$200,"B")</f>
        <v>400</v>
      </c>
      <c r="G12" s="20" t="n">
        <f aca="false">F12*$C12</f>
        <v>36320000</v>
      </c>
      <c r="H12" s="20" t="n">
        <f aca="false">SUMIFS('기준사양 매칭'!$Q$5:$Q$200,'기준사양 매칭'!$C$5:$C$200,$A12,'기준사양 매칭'!$B$5:$B$200,"C")</f>
        <v>400</v>
      </c>
      <c r="I12" s="20" t="n">
        <f aca="false">H12*$C12</f>
        <v>36320000</v>
      </c>
    </row>
    <row r="13" customFormat="false" ht="15" hidden="false" customHeight="false" outlineLevel="0" collapsed="false">
      <c r="A13" s="39" t="str">
        <f aca="false">'Price List'!C11</f>
        <v>TM3DQ16T</v>
      </c>
      <c r="B13" s="39" t="str">
        <f aca="false">'Price List'!R11</f>
        <v>DO 16 Tr (Source)</v>
      </c>
      <c r="C13" s="40" t="n">
        <f aca="false">'Price List'!I11</f>
        <v>90800</v>
      </c>
      <c r="D13" s="20" t="n">
        <f aca="false">SUMIFS('기준사양 매칭'!$Q$5:$Q$200,'기준사양 매칭'!$C$5:$C$200,$A13,'기준사양 매칭'!$B$5:$B$200,"A")</f>
        <v>0</v>
      </c>
      <c r="E13" s="20" t="n">
        <f aca="false">D13*$C13</f>
        <v>0</v>
      </c>
      <c r="F13" s="20" t="n">
        <f aca="false">SUMIFS('기준사양 매칭'!$Q$5:$Q$200,'기준사양 매칭'!$C$5:$C$200,$A13,'기준사양 매칭'!$B$5:$B$200,"B")</f>
        <v>0</v>
      </c>
      <c r="G13" s="20" t="n">
        <f aca="false">F13*$C13</f>
        <v>0</v>
      </c>
      <c r="H13" s="20" t="n">
        <f aca="false">SUMIFS('기준사양 매칭'!$Q$5:$Q$200,'기준사양 매칭'!$C$5:$C$200,$A13,'기준사양 매칭'!$B$5:$B$200,"C")</f>
        <v>0</v>
      </c>
      <c r="I13" s="20" t="n">
        <f aca="false">H13*$C13</f>
        <v>0</v>
      </c>
    </row>
    <row r="14" customFormat="false" ht="15" hidden="false" customHeight="false" outlineLevel="0" collapsed="false">
      <c r="A14" s="39" t="str">
        <f aca="false">'Price List'!C12</f>
        <v>TM3DQ16U</v>
      </c>
      <c r="B14" s="39" t="str">
        <f aca="false">'Price List'!R12</f>
        <v>DO 16 Tr (Sink)</v>
      </c>
      <c r="C14" s="40" t="n">
        <f aca="false">'Price List'!I12</f>
        <v>85200</v>
      </c>
      <c r="D14" s="20" t="n">
        <f aca="false">SUMIFS('기준사양 매칭'!$Q$5:$Q$200,'기준사양 매칭'!$C$5:$C$200,$A14,'기준사양 매칭'!$B$5:$B$200,"A")</f>
        <v>0</v>
      </c>
      <c r="E14" s="20" t="n">
        <f aca="false">D14*$C14</f>
        <v>0</v>
      </c>
      <c r="F14" s="20" t="n">
        <f aca="false">SUMIFS('기준사양 매칭'!$Q$5:$Q$200,'기준사양 매칭'!$C$5:$C$200,$A14,'기준사양 매칭'!$B$5:$B$200,"B")</f>
        <v>0</v>
      </c>
      <c r="G14" s="20" t="n">
        <f aca="false">F14*$C14</f>
        <v>0</v>
      </c>
      <c r="H14" s="20" t="n">
        <f aca="false">SUMIFS('기준사양 매칭'!$Q$5:$Q$200,'기준사양 매칭'!$C$5:$C$200,$A14,'기준사양 매칭'!$B$5:$B$200,"C")</f>
        <v>0</v>
      </c>
      <c r="I14" s="20" t="n">
        <f aca="false">H14*$C14</f>
        <v>0</v>
      </c>
    </row>
    <row r="15" customFormat="false" ht="15" hidden="false" customHeight="false" outlineLevel="0" collapsed="false">
      <c r="A15" s="39" t="str">
        <f aca="false">'Price List'!C13</f>
        <v>TM3DQ8R</v>
      </c>
      <c r="B15" s="39" t="str">
        <f aca="false">'Price List'!R13</f>
        <v>DO 8 Relay</v>
      </c>
      <c r="C15" s="40" t="n">
        <f aca="false">'Price List'!I13</f>
        <v>64400</v>
      </c>
      <c r="D15" s="20" t="n">
        <f aca="false">SUMIFS('기준사양 매칭'!$Q$5:$Q$200,'기준사양 매칭'!$C$5:$C$200,$A15,'기준사양 매칭'!$B$5:$B$200,"A")</f>
        <v>250</v>
      </c>
      <c r="E15" s="20" t="n">
        <f aca="false">D15*$C15</f>
        <v>16100000</v>
      </c>
      <c r="F15" s="20" t="n">
        <f aca="false">SUMIFS('기준사양 매칭'!$Q$5:$Q$200,'기준사양 매칭'!$C$5:$C$200,$A15,'기준사양 매칭'!$B$5:$B$200,"B")</f>
        <v>0</v>
      </c>
      <c r="G15" s="20" t="n">
        <f aca="false">F15*$C15</f>
        <v>0</v>
      </c>
      <c r="H15" s="20" t="n">
        <f aca="false">SUMIFS('기준사양 매칭'!$Q$5:$Q$200,'기준사양 매칭'!$C$5:$C$200,$A15,'기준사양 매칭'!$B$5:$B$200,"C")</f>
        <v>0</v>
      </c>
      <c r="I15" s="20" t="n">
        <f aca="false">H15*$C15</f>
        <v>0</v>
      </c>
    </row>
    <row r="16" customFormat="false" ht="15" hidden="false" customHeight="false" outlineLevel="0" collapsed="false">
      <c r="A16" s="39" t="str">
        <f aca="false">'Price List'!C14</f>
        <v>TM3DQ8T</v>
      </c>
      <c r="B16" s="39" t="str">
        <f aca="false">'Price List'!R14</f>
        <v>DO 8 Tr (Source)</v>
      </c>
      <c r="C16" s="40" t="n">
        <f aca="false">'Price List'!I14</f>
        <v>67200</v>
      </c>
      <c r="D16" s="20" t="n">
        <f aca="false">SUMIFS('기준사양 매칭'!$Q$5:$Q$200,'기준사양 매칭'!$C$5:$C$200,$A16,'기준사양 매칭'!$B$5:$B$200,"A")</f>
        <v>0</v>
      </c>
      <c r="E16" s="20" t="n">
        <f aca="false">D16*$C16</f>
        <v>0</v>
      </c>
      <c r="F16" s="20" t="n">
        <f aca="false">SUMIFS('기준사양 매칭'!$Q$5:$Q$200,'기준사양 매칭'!$C$5:$C$200,$A16,'기준사양 매칭'!$B$5:$B$200,"B")</f>
        <v>0</v>
      </c>
      <c r="G16" s="20" t="n">
        <f aca="false">F16*$C16</f>
        <v>0</v>
      </c>
      <c r="H16" s="20" t="n">
        <f aca="false">SUMIFS('기준사양 매칭'!$Q$5:$Q$200,'기준사양 매칭'!$C$5:$C$200,$A16,'기준사양 매칭'!$B$5:$B$200,"C")</f>
        <v>0</v>
      </c>
      <c r="I16" s="20" t="n">
        <f aca="false">H16*$C16</f>
        <v>0</v>
      </c>
    </row>
    <row r="17" customFormat="false" ht="15" hidden="false" customHeight="false" outlineLevel="0" collapsed="false">
      <c r="A17" s="39" t="str">
        <f aca="false">'Price List'!C15</f>
        <v>TM3DQ8U</v>
      </c>
      <c r="B17" s="39" t="str">
        <f aca="false">'Price List'!R15</f>
        <v>DO 8 Tr (Sink)</v>
      </c>
      <c r="C17" s="40" t="n">
        <f aca="false">'Price List'!I15</f>
        <v>67200</v>
      </c>
      <c r="D17" s="20" t="n">
        <f aca="false">SUMIFS('기준사양 매칭'!$Q$5:$Q$200,'기준사양 매칭'!$C$5:$C$200,$A17,'기준사양 매칭'!$B$5:$B$200,"A")</f>
        <v>0</v>
      </c>
      <c r="E17" s="20" t="n">
        <f aca="false">D17*$C17</f>
        <v>0</v>
      </c>
      <c r="F17" s="20" t="n">
        <f aca="false">SUMIFS('기준사양 매칭'!$Q$5:$Q$200,'기준사양 매칭'!$C$5:$C$200,$A17,'기준사양 매칭'!$B$5:$B$200,"B")</f>
        <v>0</v>
      </c>
      <c r="G17" s="20" t="n">
        <f aca="false">F17*$C17</f>
        <v>0</v>
      </c>
      <c r="H17" s="20" t="n">
        <f aca="false">SUMIFS('기준사양 매칭'!$Q$5:$Q$200,'기준사양 매칭'!$C$5:$C$200,$A17,'기준사양 매칭'!$B$5:$B$200,"C")</f>
        <v>0</v>
      </c>
      <c r="I17" s="20" t="n">
        <f aca="false">H17*$C17</f>
        <v>0</v>
      </c>
    </row>
    <row r="18" customFormat="false" ht="15" hidden="false" customHeight="false" outlineLevel="0" collapsed="false">
      <c r="A18" s="39" t="str">
        <f aca="false">'Price List'!C16</f>
        <v>TM3AI2H</v>
      </c>
      <c r="B18" s="39" t="str">
        <f aca="false">'Price List'!R16</f>
        <v>AI 2 (16bit)</v>
      </c>
      <c r="C18" s="40" t="n">
        <f aca="false">'Price List'!I16</f>
        <v>124400</v>
      </c>
      <c r="D18" s="20" t="n">
        <f aca="false">SUMIFS('기준사양 매칭'!$Q$5:$Q$200,'기준사양 매칭'!$C$5:$C$200,$A18,'기준사양 매칭'!$B$5:$B$200,"A")</f>
        <v>0</v>
      </c>
      <c r="E18" s="20" t="n">
        <f aca="false">D18*$C18</f>
        <v>0</v>
      </c>
      <c r="F18" s="20" t="n">
        <f aca="false">SUMIFS('기준사양 매칭'!$Q$5:$Q$200,'기준사양 매칭'!$C$5:$C$200,$A18,'기준사양 매칭'!$B$5:$B$200,"B")</f>
        <v>0</v>
      </c>
      <c r="G18" s="20" t="n">
        <f aca="false">F18*$C18</f>
        <v>0</v>
      </c>
      <c r="H18" s="20" t="n">
        <f aca="false">SUMIFS('기준사양 매칭'!$Q$5:$Q$200,'기준사양 매칭'!$C$5:$C$200,$A18,'기준사양 매칭'!$B$5:$B$200,"C")</f>
        <v>0</v>
      </c>
      <c r="I18" s="20" t="n">
        <f aca="false">H18*$C18</f>
        <v>0</v>
      </c>
    </row>
    <row r="19" customFormat="false" ht="15" hidden="false" customHeight="false" outlineLevel="0" collapsed="false">
      <c r="A19" s="39" t="str">
        <f aca="false">'Price List'!C17</f>
        <v>TM3AI4</v>
      </c>
      <c r="B19" s="39" t="str">
        <f aca="false">'Price List'!R17</f>
        <v>AI 4</v>
      </c>
      <c r="C19" s="40" t="n">
        <f aca="false">'Price List'!I17</f>
        <v>113600</v>
      </c>
      <c r="D19" s="20" t="n">
        <f aca="false">SUMIFS('기준사양 매칭'!$Q$5:$Q$200,'기준사양 매칭'!$C$5:$C$200,$A19,'기준사양 매칭'!$B$5:$B$200,"A")</f>
        <v>0</v>
      </c>
      <c r="E19" s="20" t="n">
        <f aca="false">D19*$C19</f>
        <v>0</v>
      </c>
      <c r="F19" s="20" t="n">
        <f aca="false">SUMIFS('기준사양 매칭'!$Q$5:$Q$200,'기준사양 매칭'!$C$5:$C$200,$A19,'기준사양 매칭'!$B$5:$B$200,"B")</f>
        <v>0</v>
      </c>
      <c r="G19" s="20" t="n">
        <f aca="false">F19*$C19</f>
        <v>0</v>
      </c>
      <c r="H19" s="20" t="n">
        <f aca="false">SUMIFS('기준사양 매칭'!$Q$5:$Q$200,'기준사양 매칭'!$C$5:$C$200,$A19,'기준사양 매칭'!$B$5:$B$200,"C")</f>
        <v>0</v>
      </c>
      <c r="I19" s="20" t="n">
        <f aca="false">H19*$C19</f>
        <v>0</v>
      </c>
    </row>
    <row r="20" customFormat="false" ht="15" hidden="false" customHeight="false" outlineLevel="0" collapsed="false">
      <c r="A20" s="39" t="str">
        <f aca="false">'Price List'!C18</f>
        <v>TM3AI8</v>
      </c>
      <c r="B20" s="39" t="str">
        <f aca="false">'Price List'!R18</f>
        <v>AI 8</v>
      </c>
      <c r="C20" s="40" t="n">
        <f aca="false">'Price List'!I18</f>
        <v>132400</v>
      </c>
      <c r="D20" s="20" t="n">
        <f aca="false">SUMIFS('기준사양 매칭'!$Q$5:$Q$200,'기준사양 매칭'!$C$5:$C$200,$A20,'기준사양 매칭'!$B$5:$B$200,"A")</f>
        <v>0</v>
      </c>
      <c r="E20" s="20" t="n">
        <f aca="false">D20*$C20</f>
        <v>0</v>
      </c>
      <c r="F20" s="20" t="n">
        <f aca="false">SUMIFS('기준사양 매칭'!$Q$5:$Q$200,'기준사양 매칭'!$C$5:$C$200,$A20,'기준사양 매칭'!$B$5:$B$200,"B")</f>
        <v>0</v>
      </c>
      <c r="G20" s="20" t="n">
        <f aca="false">F20*$C20</f>
        <v>0</v>
      </c>
      <c r="H20" s="20" t="n">
        <f aca="false">SUMIFS('기준사양 매칭'!$Q$5:$Q$200,'기준사양 매칭'!$C$5:$C$200,$A20,'기준사양 매칭'!$B$5:$B$200,"C")</f>
        <v>0</v>
      </c>
      <c r="I20" s="20" t="n">
        <f aca="false">H20*$C20</f>
        <v>0</v>
      </c>
    </row>
    <row r="21" customFormat="false" ht="15" hidden="false" customHeight="false" outlineLevel="0" collapsed="false">
      <c r="A21" s="39" t="str">
        <f aca="false">'Price List'!C19</f>
        <v>TM3AQ2</v>
      </c>
      <c r="B21" s="39" t="str">
        <f aca="false">'Price List'!R19</f>
        <v>AO 2</v>
      </c>
      <c r="C21" s="40" t="n">
        <f aca="false">'Price List'!I19</f>
        <v>138400</v>
      </c>
      <c r="D21" s="20" t="n">
        <f aca="false">SUMIFS('기준사양 매칭'!$Q$5:$Q$200,'기준사양 매칭'!$C$5:$C$200,$A21,'기준사양 매칭'!$B$5:$B$200,"A")</f>
        <v>350</v>
      </c>
      <c r="E21" s="20" t="n">
        <f aca="false">D21*$C21</f>
        <v>48440000</v>
      </c>
      <c r="F21" s="20" t="n">
        <f aca="false">SUMIFS('기준사양 매칭'!$Q$5:$Q$200,'기준사양 매칭'!$C$5:$C$200,$A21,'기준사양 매칭'!$B$5:$B$200,"B")</f>
        <v>350</v>
      </c>
      <c r="G21" s="20" t="n">
        <f aca="false">F21*$C21</f>
        <v>48440000</v>
      </c>
      <c r="H21" s="20" t="n">
        <f aca="false">SUMIFS('기준사양 매칭'!$Q$5:$Q$200,'기준사양 매칭'!$C$5:$C$200,$A21,'기준사양 매칭'!$B$5:$B$200,"C")</f>
        <v>350</v>
      </c>
      <c r="I21" s="20" t="n">
        <f aca="false">H21*$C21</f>
        <v>48440000</v>
      </c>
    </row>
    <row r="22" customFormat="false" ht="15" hidden="false" customHeight="false" outlineLevel="0" collapsed="false">
      <c r="A22" s="39" t="str">
        <f aca="false">'Price List'!C20</f>
        <v>TM3AQ4</v>
      </c>
      <c r="B22" s="39" t="str">
        <f aca="false">'Price List'!R20</f>
        <v>AO 4</v>
      </c>
      <c r="C22" s="40" t="n">
        <f aca="false">'Price List'!I20</f>
        <v>140400</v>
      </c>
      <c r="D22" s="20" t="n">
        <f aca="false">SUMIFS('기준사양 매칭'!$Q$5:$Q$200,'기준사양 매칭'!$C$5:$C$200,$A22,'기준사양 매칭'!$B$5:$B$200,"A")</f>
        <v>100</v>
      </c>
      <c r="E22" s="20" t="n">
        <f aca="false">D22*$C22</f>
        <v>14040000</v>
      </c>
      <c r="F22" s="20" t="n">
        <f aca="false">SUMIFS('기준사양 매칭'!$Q$5:$Q$200,'기준사양 매칭'!$C$5:$C$200,$A22,'기준사양 매칭'!$B$5:$B$200,"B")</f>
        <v>100</v>
      </c>
      <c r="G22" s="20" t="n">
        <f aca="false">F22*$C22</f>
        <v>14040000</v>
      </c>
      <c r="H22" s="20" t="n">
        <f aca="false">SUMIFS('기준사양 매칭'!$Q$5:$Q$200,'기준사양 매칭'!$C$5:$C$200,$A22,'기준사양 매칭'!$B$5:$B$200,"C")</f>
        <v>100</v>
      </c>
      <c r="I22" s="20" t="n">
        <f aca="false">H22*$C22</f>
        <v>14040000</v>
      </c>
    </row>
    <row r="23" customFormat="false" ht="15" hidden="false" customHeight="false" outlineLevel="0" collapsed="false">
      <c r="A23" s="36" t="s">
        <v>18</v>
      </c>
      <c r="B23" s="36"/>
      <c r="C23" s="36"/>
      <c r="D23" s="10" t="n">
        <f aca="false">SUM(D5:D22)</f>
        <v>2650</v>
      </c>
      <c r="E23" s="10" t="n">
        <f aca="false">SUM(E5:E22)</f>
        <v>452797500</v>
      </c>
      <c r="F23" s="10" t="n">
        <f aca="false">SUM(F5:F22)</f>
        <v>2100</v>
      </c>
      <c r="G23" s="10" t="n">
        <f aca="false">SUM(G5:G22)</f>
        <v>416882500</v>
      </c>
      <c r="H23" s="10" t="n">
        <f aca="false">SUM(H5:H22)</f>
        <v>2100</v>
      </c>
      <c r="I23" s="10" t="n">
        <f aca="false">SUM(I5:I22)</f>
        <v>411482500</v>
      </c>
    </row>
    <row r="24" customFormat="false" ht="15" hidden="false" customHeight="false" outlineLevel="0" collapsed="false">
      <c r="A24" s="41" t="s">
        <v>136</v>
      </c>
      <c r="B24" s="41"/>
      <c r="C24" s="41"/>
      <c r="D24" s="42"/>
      <c r="E24" s="42" t="str">
        <f aca="false">IF(ABS(E23-요약!G8)&lt;1,"일치","불일치")</f>
        <v>일치</v>
      </c>
      <c r="F24" s="42"/>
      <c r="G24" s="42" t="str">
        <f aca="false">IF(ABS(G23-요약!H8)&lt;1,"일치","불일치")</f>
        <v>일치</v>
      </c>
      <c r="H24" s="42"/>
      <c r="I24" s="42" t="str">
        <f aca="false">IF(ABS(I23-요약!I8)&lt;1,"일치","불일치")</f>
        <v>일치</v>
      </c>
    </row>
  </sheetData>
  <mergeCells count="10">
    <mergeCell ref="A1:I1"/>
    <mergeCell ref="A2:I2"/>
    <mergeCell ref="A3:A4"/>
    <mergeCell ref="B3:B4"/>
    <mergeCell ref="C3:C4"/>
    <mergeCell ref="D3:E3"/>
    <mergeCell ref="F3:G3"/>
    <mergeCell ref="H3:I3"/>
    <mergeCell ref="A23:C23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2" min="10" style="0" width="9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15" hidden="false" customHeight="false" outlineLevel="0" collapsed="false">
      <c r="A1" s="43" t="s">
        <v>137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customFormat="false" ht="27.75" hidden="false" customHeight="true" outlineLevel="0" collapsed="false">
      <c r="A2" s="26" t="s">
        <v>138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4" customFormat="false" ht="27.75" hidden="false" customHeight="true" outlineLevel="0" collapsed="false">
      <c r="A4" s="2" t="s">
        <v>139</v>
      </c>
      <c r="B4" s="15" t="s">
        <v>140</v>
      </c>
      <c r="C4" s="15" t="s">
        <v>141</v>
      </c>
      <c r="D4" s="2" t="s">
        <v>90</v>
      </c>
      <c r="E4" s="15" t="s">
        <v>39</v>
      </c>
      <c r="F4" s="15" t="s">
        <v>40</v>
      </c>
      <c r="G4" s="15" t="s">
        <v>44</v>
      </c>
      <c r="H4" s="15" t="s">
        <v>45</v>
      </c>
      <c r="I4" s="2" t="s">
        <v>142</v>
      </c>
      <c r="J4" s="2"/>
      <c r="K4" s="2"/>
      <c r="L4" s="2"/>
      <c r="M4" s="2"/>
      <c r="N4" s="2"/>
      <c r="O4" s="2"/>
    </row>
    <row r="5" customFormat="false" ht="15" hidden="false" customHeight="false" outlineLevel="0" collapsed="false">
      <c r="A5" s="32" t="s">
        <v>143</v>
      </c>
      <c r="B5" s="44" t="n">
        <v>941000</v>
      </c>
      <c r="C5" s="45" t="n">
        <v>0.45</v>
      </c>
      <c r="D5" s="46" t="n">
        <f aca="false">ROUND(B5*C5,0)</f>
        <v>423450</v>
      </c>
      <c r="E5" s="33" t="n">
        <v>24</v>
      </c>
      <c r="F5" s="33" t="n">
        <v>16</v>
      </c>
      <c r="G5" s="33" t="n">
        <v>2</v>
      </c>
      <c r="H5" s="33" t="n">
        <v>1</v>
      </c>
      <c r="I5" s="47" t="s">
        <v>144</v>
      </c>
      <c r="J5" s="47"/>
      <c r="K5" s="47"/>
      <c r="L5" s="47"/>
      <c r="M5" s="47"/>
      <c r="N5" s="47"/>
      <c r="O5" s="47"/>
    </row>
    <row r="7" customFormat="false" ht="27.75" hidden="false" customHeight="true" outlineLevel="0" collapsed="false">
      <c r="A7" s="2" t="s">
        <v>1</v>
      </c>
      <c r="B7" s="2" t="s">
        <v>145</v>
      </c>
      <c r="C7" s="15" t="s">
        <v>146</v>
      </c>
      <c r="D7" s="15" t="s">
        <v>32</v>
      </c>
      <c r="E7" s="2" t="s">
        <v>90</v>
      </c>
      <c r="F7" s="2" t="s">
        <v>147</v>
      </c>
      <c r="G7" s="15" t="s">
        <v>39</v>
      </c>
      <c r="H7" s="15" t="s">
        <v>92</v>
      </c>
      <c r="I7" s="15" t="s">
        <v>148</v>
      </c>
      <c r="J7" s="15" t="s">
        <v>43</v>
      </c>
      <c r="K7" s="15" t="s">
        <v>44</v>
      </c>
      <c r="L7" s="15" t="s">
        <v>45</v>
      </c>
      <c r="M7" s="2" t="s">
        <v>134</v>
      </c>
      <c r="N7" s="2" t="s">
        <v>135</v>
      </c>
      <c r="O7" s="2" t="s">
        <v>149</v>
      </c>
    </row>
    <row r="8" customFormat="false" ht="15" hidden="false" customHeight="false" outlineLevel="0" collapsed="false">
      <c r="A8" s="16" t="s">
        <v>10</v>
      </c>
      <c r="B8" s="16" t="s">
        <v>150</v>
      </c>
      <c r="C8" s="32" t="s">
        <v>53</v>
      </c>
      <c r="D8" s="18" t="n">
        <v>1</v>
      </c>
      <c r="E8" s="46" t="n">
        <f aca="false">IFERROR(INDEX('Price List'!$I$3:$I$20,MATCH($C8,'Price List'!$C$3:$C$20,0)),IFERROR(INDEX($D$5:$D$5,MATCH($C8,$A$5:$A$5,0)),0))</f>
        <v>384750</v>
      </c>
      <c r="F8" s="46" t="n">
        <f aca="false">D8*E8</f>
        <v>384750</v>
      </c>
      <c r="G8" s="34" t="n">
        <f aca="false">D8*IFERROR(INDEX('Price List'!$K$3:$K$20,MATCH($C8,'Price List'!$C$3:$C$20,0)),IFERROR(INDEX($E$5:$E$5,MATCH($C8,$A$5:$A$5,0)),0))</f>
        <v>14</v>
      </c>
      <c r="H8" s="34" t="n">
        <f aca="false">D8*(IFERROR(INDEX('Price List'!$L$3:$L$20,MATCH($C8,'Price List'!$C$3:$C$20,0)),IFERROR(INDEX($F$5:$F$5,MATCH($C8,$A$5:$A$5,0)),0))+IFERROR(INDEX('Price List'!$M$3:$M$20,MATCH($C8,'Price List'!$C$3:$C$20,0)),0))</f>
        <v>10</v>
      </c>
      <c r="I8" s="34" t="n">
        <f aca="false">D8*IFERROR(INDEX('Price List'!$M$3:$M$20,MATCH($C8,'Price List'!$C$3:$C$20,0)),0)</f>
        <v>6</v>
      </c>
      <c r="J8" s="34" t="n">
        <f aca="false">D8*IFERROR(INDEX('Price List'!$O$3:$O$20,MATCH($C8,'Price List'!$C$3:$C$20,0)),0)</f>
        <v>0</v>
      </c>
      <c r="K8" s="34" t="n">
        <f aca="false">D8*IFERROR(INDEX('Price List'!$P$3:$P$20,MATCH($C8,'Price List'!$C$3:$C$20,0)),IFERROR(INDEX($G$5:$G$5,MATCH($C8,$A$5:$A$5,0)),0))</f>
        <v>2</v>
      </c>
      <c r="L8" s="34" t="n">
        <f aca="false">D8*IFERROR(INDEX('Price List'!$Q$3:$Q$20,MATCH($C8,'Price List'!$C$3:$C$20,0)),IFERROR(INDEX($H$5:$H$5,MATCH($C8,$A$5:$A$5,0)),0))</f>
        <v>0</v>
      </c>
      <c r="M8" s="32"/>
      <c r="N8" s="32"/>
      <c r="O8" s="32"/>
    </row>
    <row r="9" customFormat="false" ht="15" hidden="false" customHeight="false" outlineLevel="0" collapsed="false">
      <c r="A9" s="9" t="s">
        <v>10</v>
      </c>
      <c r="B9" s="9" t="s">
        <v>150</v>
      </c>
      <c r="C9" s="36" t="s">
        <v>102</v>
      </c>
      <c r="D9" s="36"/>
      <c r="E9" s="36"/>
      <c r="F9" s="48" t="n">
        <f aca="false">SUM(F8:F8)</f>
        <v>384750</v>
      </c>
      <c r="G9" s="37" t="n">
        <f aca="false">SUM(G8:G8)</f>
        <v>14</v>
      </c>
      <c r="H9" s="37" t="n">
        <f aca="false">SUM(H8:H8)</f>
        <v>10</v>
      </c>
      <c r="I9" s="37" t="n">
        <f aca="false">SUM(I8:I8)</f>
        <v>6</v>
      </c>
      <c r="J9" s="37" t="n">
        <f aca="false">SUM(J8:J8)</f>
        <v>0</v>
      </c>
      <c r="K9" s="37" t="n">
        <f aca="false">SUM(K8:K8)</f>
        <v>2</v>
      </c>
      <c r="L9" s="37" t="n">
        <f aca="false">SUM(L8:L8)</f>
        <v>0</v>
      </c>
      <c r="M9" s="48" t="n">
        <f aca="false">INDEX(요약!$C$4:$C$7,MATCH($A9,요약!$A$4:$A$7,0))</f>
        <v>200</v>
      </c>
      <c r="N9" s="48" t="n">
        <f aca="false">F9*M9</f>
        <v>76950000</v>
      </c>
      <c r="O9" s="49" t="str">
        <f aca="false">IF(AND(G9&gt;='기준사양 매칭'!H6,H9&gt;='기준사양 매칭'!K6,J9&gt;='기준사양 매칭'!L6,K9&gt;='기준사양 매칭'!M6,L9&gt;='기준사양 매칭'!N6),"충족",IF(G9&lt;'기준사양 매칭'!H6,"DI "&amp;('기준사양 매칭'!H6-G9)&amp;" 부족  ","")&amp;IF(H9&lt;'기준사양 매칭'!K6,"DO "&amp;('기준사양 매칭'!K6-H9)&amp;" 부족  ","")&amp;IF(J9&lt;'기준사양 매칭'!L6,"AO "&amp;('기준사양 매칭'!L6-J9)&amp;" 부족  ","")&amp;IF(K9&lt;'기준사양 매칭'!M6,"Serial "&amp;('기준사양 매칭'!M6-K9)&amp;" 부족  ","")&amp;IF(L9&lt;'기준사양 매칭'!N6,"ETH "&amp;('기준사양 매칭'!N6-L9)&amp;" 부족  ",""))</f>
        <v>충족</v>
      </c>
    </row>
    <row r="11" customFormat="false" ht="15" hidden="false" customHeight="false" outlineLevel="0" collapsed="false">
      <c r="A11" s="16" t="s">
        <v>10</v>
      </c>
      <c r="B11" s="16" t="s">
        <v>151</v>
      </c>
      <c r="C11" s="32" t="s">
        <v>51</v>
      </c>
      <c r="D11" s="18" t="n">
        <v>1</v>
      </c>
      <c r="E11" s="46" t="n">
        <f aca="false">IFERROR(INDEX('Price List'!$I$3:$I$20,MATCH($C11,'Price List'!$C$3:$C$20,0)),IFERROR(INDEX($D$5:$D$5,MATCH($C11,$A$5:$A$5,0)),0))</f>
        <v>392850</v>
      </c>
      <c r="F11" s="46" t="n">
        <f aca="false">D11*E11</f>
        <v>392850</v>
      </c>
      <c r="G11" s="34" t="n">
        <f aca="false">D11*IFERROR(INDEX('Price List'!$K$3:$K$20,MATCH($C11,'Price List'!$C$3:$C$20,0)),IFERROR(INDEX($E$5:$E$5,MATCH($C11,$A$5:$A$5,0)),0))</f>
        <v>14</v>
      </c>
      <c r="H11" s="34" t="n">
        <f aca="false">D11*(IFERROR(INDEX('Price List'!$L$3:$L$20,MATCH($C11,'Price List'!$C$3:$C$20,0)),IFERROR(INDEX($F$5:$F$5,MATCH($C11,$A$5:$A$5,0)),0))+IFERROR(INDEX('Price List'!$M$3:$M$20,MATCH($C11,'Price List'!$C$3:$C$20,0)),0))</f>
        <v>10</v>
      </c>
      <c r="I11" s="34" t="n">
        <f aca="false">D11*IFERROR(INDEX('Price List'!$M$3:$M$20,MATCH($C11,'Price List'!$C$3:$C$20,0)),0)</f>
        <v>0</v>
      </c>
      <c r="J11" s="34" t="n">
        <f aca="false">D11*IFERROR(INDEX('Price List'!$O$3:$O$20,MATCH($C11,'Price List'!$C$3:$C$20,0)),0)</f>
        <v>0</v>
      </c>
      <c r="K11" s="34" t="n">
        <f aca="false">D11*IFERROR(INDEX('Price List'!$P$3:$P$20,MATCH($C11,'Price List'!$C$3:$C$20,0)),IFERROR(INDEX($G$5:$G$5,MATCH($C11,$A$5:$A$5,0)),0))</f>
        <v>2</v>
      </c>
      <c r="L11" s="34" t="n">
        <f aca="false">D11*IFERROR(INDEX('Price List'!$Q$3:$Q$20,MATCH($C11,'Price List'!$C$3:$C$20,0)),IFERROR(INDEX($H$5:$H$5,MATCH($C11,$A$5:$A$5,0)),0))</f>
        <v>0</v>
      </c>
      <c r="M11" s="32"/>
      <c r="N11" s="32"/>
      <c r="O11" s="32"/>
    </row>
    <row r="12" customFormat="false" ht="15" hidden="false" customHeight="false" outlineLevel="0" collapsed="false">
      <c r="A12" s="9" t="s">
        <v>10</v>
      </c>
      <c r="B12" s="9" t="s">
        <v>151</v>
      </c>
      <c r="C12" s="36" t="s">
        <v>102</v>
      </c>
      <c r="D12" s="36"/>
      <c r="E12" s="36"/>
      <c r="F12" s="48" t="n">
        <f aca="false">SUM(F11:F11)</f>
        <v>392850</v>
      </c>
      <c r="G12" s="37" t="n">
        <f aca="false">SUM(G11:G11)</f>
        <v>14</v>
      </c>
      <c r="H12" s="37" t="n">
        <f aca="false">SUM(H11:H11)</f>
        <v>10</v>
      </c>
      <c r="I12" s="37" t="n">
        <f aca="false">SUM(I11:I11)</f>
        <v>0</v>
      </c>
      <c r="J12" s="37" t="n">
        <f aca="false">SUM(J11:J11)</f>
        <v>0</v>
      </c>
      <c r="K12" s="37" t="n">
        <f aca="false">SUM(K11:K11)</f>
        <v>2</v>
      </c>
      <c r="L12" s="37" t="n">
        <f aca="false">SUM(L11:L11)</f>
        <v>0</v>
      </c>
      <c r="M12" s="48" t="n">
        <f aca="false">INDEX(요약!$C$4:$C$7,MATCH($A12,요약!$A$4:$A$7,0))</f>
        <v>200</v>
      </c>
      <c r="N12" s="48" t="n">
        <f aca="false">F12*M12</f>
        <v>78570000</v>
      </c>
      <c r="O12" s="49" t="str">
        <f aca="false">IF(AND(G12&gt;='기준사양 매칭'!H6,H12&gt;='기준사양 매칭'!K6,J12&gt;='기준사양 매칭'!L6,K12&gt;='기준사양 매칭'!M6,L12&gt;='기준사양 매칭'!N6),"충족",IF(G12&lt;'기준사양 매칭'!H6,"DI "&amp;('기준사양 매칭'!H6-G12)&amp;" 부족  ","")&amp;IF(H12&lt;'기준사양 매칭'!K6,"DO "&amp;('기준사양 매칭'!K6-H12)&amp;" 부족  ","")&amp;IF(J12&lt;'기준사양 매칭'!L6,"AO "&amp;('기준사양 매칭'!L6-J12)&amp;" 부족  ","")&amp;IF(K12&lt;'기준사양 매칭'!M6,"Serial "&amp;('기준사양 매칭'!M6-K12)&amp;" 부족  ","")&amp;IF(L12&lt;'기준사양 매칭'!N6,"ETH "&amp;('기준사양 매칭'!N6-L12)&amp;" 부족  ",""))</f>
        <v>충족</v>
      </c>
    </row>
    <row r="14" customFormat="false" ht="15" hidden="false" customHeight="false" outlineLevel="0" collapsed="false">
      <c r="A14" s="16" t="s">
        <v>12</v>
      </c>
      <c r="B14" s="16" t="s">
        <v>150</v>
      </c>
      <c r="C14" s="32" t="s">
        <v>57</v>
      </c>
      <c r="D14" s="18" t="n">
        <v>1</v>
      </c>
      <c r="E14" s="46" t="n">
        <f aca="false">IFERROR(INDEX('Price List'!$I$3:$I$20,MATCH($C14,'Price List'!$C$3:$C$20,0)),IFERROR(INDEX($D$5:$D$5,MATCH($C14,$A$5:$A$5,0)),0))</f>
        <v>406350</v>
      </c>
      <c r="F14" s="46" t="n">
        <f aca="false">D14*E14</f>
        <v>406350</v>
      </c>
      <c r="G14" s="34" t="n">
        <f aca="false">D14*IFERROR(INDEX('Price List'!$K$3:$K$20,MATCH($C14,'Price List'!$C$3:$C$20,0)),IFERROR(INDEX($E$5:$E$5,MATCH($C14,$A$5:$A$5,0)),0))</f>
        <v>24</v>
      </c>
      <c r="H14" s="34" t="n">
        <f aca="false">D14*(IFERROR(INDEX('Price List'!$L$3:$L$20,MATCH($C14,'Price List'!$C$3:$C$20,0)),IFERROR(INDEX($F$5:$F$5,MATCH($C14,$A$5:$A$5,0)),0))+IFERROR(INDEX('Price List'!$M$3:$M$20,MATCH($C14,'Price List'!$C$3:$C$20,0)),0))</f>
        <v>16</v>
      </c>
      <c r="I14" s="34" t="n">
        <f aca="false">D14*IFERROR(INDEX('Price List'!$M$3:$M$20,MATCH($C14,'Price List'!$C$3:$C$20,0)),0)</f>
        <v>12</v>
      </c>
      <c r="J14" s="34" t="n">
        <f aca="false">D14*IFERROR(INDEX('Price List'!$O$3:$O$20,MATCH($C14,'Price List'!$C$3:$C$20,0)),0)</f>
        <v>0</v>
      </c>
      <c r="K14" s="34" t="n">
        <f aca="false">D14*IFERROR(INDEX('Price List'!$P$3:$P$20,MATCH($C14,'Price List'!$C$3:$C$20,0)),IFERROR(INDEX($G$5:$G$5,MATCH($C14,$A$5:$A$5,0)),0))</f>
        <v>2</v>
      </c>
      <c r="L14" s="34" t="n">
        <f aca="false">D14*IFERROR(INDEX('Price List'!$Q$3:$Q$20,MATCH($C14,'Price List'!$C$3:$C$20,0)),IFERROR(INDEX($H$5:$H$5,MATCH($C14,$A$5:$A$5,0)),0))</f>
        <v>0</v>
      </c>
      <c r="M14" s="32"/>
      <c r="N14" s="32"/>
      <c r="O14" s="32"/>
    </row>
    <row r="15" customFormat="false" ht="15" hidden="false" customHeight="false" outlineLevel="0" collapsed="false">
      <c r="A15" s="9" t="s">
        <v>12</v>
      </c>
      <c r="B15" s="9" t="s">
        <v>150</v>
      </c>
      <c r="C15" s="36" t="s">
        <v>102</v>
      </c>
      <c r="D15" s="36"/>
      <c r="E15" s="36"/>
      <c r="F15" s="48" t="n">
        <f aca="false">SUM(F14:F14)</f>
        <v>406350</v>
      </c>
      <c r="G15" s="37" t="n">
        <f aca="false">SUM(G14:G14)</f>
        <v>24</v>
      </c>
      <c r="H15" s="37" t="n">
        <f aca="false">SUM(H14:H14)</f>
        <v>16</v>
      </c>
      <c r="I15" s="37" t="n">
        <f aca="false">SUM(I14:I14)</f>
        <v>12</v>
      </c>
      <c r="J15" s="37" t="n">
        <f aca="false">SUM(J14:J14)</f>
        <v>0</v>
      </c>
      <c r="K15" s="37" t="n">
        <f aca="false">SUM(K14:K14)</f>
        <v>2</v>
      </c>
      <c r="L15" s="37" t="n">
        <f aca="false">SUM(L14:L14)</f>
        <v>0</v>
      </c>
      <c r="M15" s="48" t="n">
        <f aca="false">INDEX(요약!$C$4:$C$7,MATCH($A15,요약!$A$4:$A$7,0))</f>
        <v>300</v>
      </c>
      <c r="N15" s="48" t="n">
        <f aca="false">F15*M15</f>
        <v>121905000</v>
      </c>
      <c r="O15" s="49" t="str">
        <f aca="false">IF(AND(G15&gt;='기준사양 매칭'!H16,H15&gt;='기준사양 매칭'!K16,J15&gt;='기준사양 매칭'!L16,K15&gt;='기준사양 매칭'!M16,L15&gt;='기준사양 매칭'!N16),"충족",IF(G15&lt;'기준사양 매칭'!H16,"DI "&amp;('기준사양 매칭'!H16-G15)&amp;" 부족  ","")&amp;IF(H15&lt;'기준사양 매칭'!K16,"DO "&amp;('기준사양 매칭'!K16-H15)&amp;" 부족  ","")&amp;IF(J15&lt;'기준사양 매칭'!L16,"AO "&amp;('기준사양 매칭'!L16-J15)&amp;" 부족  ","")&amp;IF(K15&lt;'기준사양 매칭'!M16,"Serial "&amp;('기준사양 매칭'!M16-K15)&amp;" 부족  ","")&amp;IF(L15&lt;'기준사양 매칭'!N16,"ETH "&amp;('기준사양 매칭'!N16-L15)&amp;" 부족  ",""))</f>
        <v>AO 2 부족  </v>
      </c>
    </row>
    <row r="17" customFormat="false" ht="15" hidden="false" customHeight="false" outlineLevel="0" collapsed="false">
      <c r="A17" s="16" t="s">
        <v>12</v>
      </c>
      <c r="B17" s="16" t="s">
        <v>151</v>
      </c>
      <c r="C17" s="32" t="s">
        <v>56</v>
      </c>
      <c r="D17" s="18" t="n">
        <v>1</v>
      </c>
      <c r="E17" s="46" t="n">
        <f aca="false">IFERROR(INDEX('Price List'!$I$3:$I$20,MATCH($C17,'Price List'!$C$3:$C$20,0)),IFERROR(INDEX($D$5:$D$5,MATCH($C17,$A$5:$A$5,0)),0))</f>
        <v>417600</v>
      </c>
      <c r="F17" s="46" t="n">
        <f aca="false">D17*E17</f>
        <v>417600</v>
      </c>
      <c r="G17" s="34" t="n">
        <f aca="false">D17*IFERROR(INDEX('Price List'!$K$3:$K$20,MATCH($C17,'Price List'!$C$3:$C$20,0)),IFERROR(INDEX($E$5:$E$5,MATCH($C17,$A$5:$A$5,0)),0))</f>
        <v>24</v>
      </c>
      <c r="H17" s="34" t="n">
        <f aca="false">D17*(IFERROR(INDEX('Price List'!$L$3:$L$20,MATCH($C17,'Price List'!$C$3:$C$20,0)),IFERROR(INDEX($F$5:$F$5,MATCH($C17,$A$5:$A$5,0)),0))+IFERROR(INDEX('Price List'!$M$3:$M$20,MATCH($C17,'Price List'!$C$3:$C$20,0)),0))</f>
        <v>16</v>
      </c>
      <c r="I17" s="34" t="n">
        <f aca="false">D17*IFERROR(INDEX('Price List'!$M$3:$M$20,MATCH($C17,'Price List'!$C$3:$C$20,0)),0)</f>
        <v>0</v>
      </c>
      <c r="J17" s="34" t="n">
        <f aca="false">D17*IFERROR(INDEX('Price List'!$O$3:$O$20,MATCH($C17,'Price List'!$C$3:$C$20,0)),0)</f>
        <v>0</v>
      </c>
      <c r="K17" s="34" t="n">
        <f aca="false">D17*IFERROR(INDEX('Price List'!$P$3:$P$20,MATCH($C17,'Price List'!$C$3:$C$20,0)),IFERROR(INDEX($G$5:$G$5,MATCH($C17,$A$5:$A$5,0)),0))</f>
        <v>2</v>
      </c>
      <c r="L17" s="34" t="n">
        <f aca="false">D17*IFERROR(INDEX('Price List'!$Q$3:$Q$20,MATCH($C17,'Price List'!$C$3:$C$20,0)),IFERROR(INDEX($H$5:$H$5,MATCH($C17,$A$5:$A$5,0)),0))</f>
        <v>0</v>
      </c>
      <c r="M17" s="32"/>
      <c r="N17" s="32"/>
      <c r="O17" s="32"/>
    </row>
    <row r="18" customFormat="false" ht="15" hidden="false" customHeight="false" outlineLevel="0" collapsed="false">
      <c r="A18" s="9" t="s">
        <v>12</v>
      </c>
      <c r="B18" s="9" t="s">
        <v>151</v>
      </c>
      <c r="C18" s="36" t="s">
        <v>102</v>
      </c>
      <c r="D18" s="36"/>
      <c r="E18" s="36"/>
      <c r="F18" s="48" t="n">
        <f aca="false">SUM(F17:F17)</f>
        <v>417600</v>
      </c>
      <c r="G18" s="37" t="n">
        <f aca="false">SUM(G17:G17)</f>
        <v>24</v>
      </c>
      <c r="H18" s="37" t="n">
        <f aca="false">SUM(H17:H17)</f>
        <v>16</v>
      </c>
      <c r="I18" s="37" t="n">
        <f aca="false">SUM(I17:I17)</f>
        <v>0</v>
      </c>
      <c r="J18" s="37" t="n">
        <f aca="false">SUM(J17:J17)</f>
        <v>0</v>
      </c>
      <c r="K18" s="37" t="n">
        <f aca="false">SUM(K17:K17)</f>
        <v>2</v>
      </c>
      <c r="L18" s="37" t="n">
        <f aca="false">SUM(L17:L17)</f>
        <v>0</v>
      </c>
      <c r="M18" s="48" t="n">
        <f aca="false">INDEX(요약!$C$4:$C$7,MATCH($A18,요약!$A$4:$A$7,0))</f>
        <v>300</v>
      </c>
      <c r="N18" s="48" t="n">
        <f aca="false">F18*M18</f>
        <v>125280000</v>
      </c>
      <c r="O18" s="49" t="str">
        <f aca="false">IF(AND(G18&gt;='기준사양 매칭'!H16,H18&gt;='기준사양 매칭'!K16,J18&gt;='기준사양 매칭'!L16,K18&gt;='기준사양 매칭'!M16,L18&gt;='기준사양 매칭'!N16),"충족",IF(G18&lt;'기준사양 매칭'!H16,"DI "&amp;('기준사양 매칭'!H16-G18)&amp;" 부족  ","")&amp;IF(H18&lt;'기준사양 매칭'!K16,"DO "&amp;('기준사양 매칭'!K16-H18)&amp;" 부족  ","")&amp;IF(J18&lt;'기준사양 매칭'!L16,"AO "&amp;('기준사양 매칭'!L16-J18)&amp;" 부족  ","")&amp;IF(K18&lt;'기준사양 매칭'!M16,"Serial "&amp;('기준사양 매칭'!M16-K18)&amp;" 부족  ","")&amp;IF(L18&lt;'기준사양 매칭'!N16,"ETH "&amp;('기준사양 매칭'!N16-L18)&amp;" 부족  ",""))</f>
        <v>AO 2 부족  </v>
      </c>
    </row>
    <row r="20" customFormat="false" ht="15" hidden="false" customHeight="false" outlineLevel="0" collapsed="false">
      <c r="A20" s="16" t="s">
        <v>14</v>
      </c>
      <c r="B20" s="16" t="s">
        <v>150</v>
      </c>
      <c r="C20" s="32" t="s">
        <v>53</v>
      </c>
      <c r="D20" s="18" t="n">
        <v>1</v>
      </c>
      <c r="E20" s="46" t="n">
        <f aca="false">IFERROR(INDEX('Price List'!$I$3:$I$20,MATCH($C20,'Price List'!$C$3:$C$20,0)),IFERROR(INDEX($D$5:$D$5,MATCH($C20,$A$5:$A$5,0)),0))</f>
        <v>384750</v>
      </c>
      <c r="F20" s="46" t="n">
        <f aca="false">D20*E20</f>
        <v>384750</v>
      </c>
      <c r="G20" s="34" t="n">
        <f aca="false">D20*IFERROR(INDEX('Price List'!$K$3:$K$20,MATCH($C20,'Price List'!$C$3:$C$20,0)),IFERROR(INDEX($E$5:$E$5,MATCH($C20,$A$5:$A$5,0)),0))</f>
        <v>14</v>
      </c>
      <c r="H20" s="34" t="n">
        <f aca="false">D20*(IFERROR(INDEX('Price List'!$L$3:$L$20,MATCH($C20,'Price List'!$C$3:$C$20,0)),IFERROR(INDEX($F$5:$F$5,MATCH($C20,$A$5:$A$5,0)),0))+IFERROR(INDEX('Price List'!$M$3:$M$20,MATCH($C20,'Price List'!$C$3:$C$20,0)),0))</f>
        <v>10</v>
      </c>
      <c r="I20" s="34" t="n">
        <f aca="false">D20*IFERROR(INDEX('Price List'!$M$3:$M$20,MATCH($C20,'Price List'!$C$3:$C$20,0)),0)</f>
        <v>6</v>
      </c>
      <c r="J20" s="34" t="n">
        <f aca="false">D20*IFERROR(INDEX('Price List'!$O$3:$O$20,MATCH($C20,'Price List'!$C$3:$C$20,0)),0)</f>
        <v>0</v>
      </c>
      <c r="K20" s="34" t="n">
        <f aca="false">D20*IFERROR(INDEX('Price List'!$P$3:$P$20,MATCH($C20,'Price List'!$C$3:$C$20,0)),IFERROR(INDEX($G$5:$G$5,MATCH($C20,$A$5:$A$5,0)),0))</f>
        <v>2</v>
      </c>
      <c r="L20" s="34" t="n">
        <f aca="false">D20*IFERROR(INDEX('Price List'!$Q$3:$Q$20,MATCH($C20,'Price List'!$C$3:$C$20,0)),IFERROR(INDEX($H$5:$H$5,MATCH($C20,$A$5:$A$5,0)),0))</f>
        <v>0</v>
      </c>
      <c r="M20" s="32"/>
      <c r="N20" s="32"/>
      <c r="O20" s="32"/>
    </row>
    <row r="21" customFormat="false" ht="15" hidden="false" customHeight="false" outlineLevel="0" collapsed="false">
      <c r="A21" s="16" t="s">
        <v>14</v>
      </c>
      <c r="B21" s="16" t="s">
        <v>150</v>
      </c>
      <c r="C21" s="32" t="s">
        <v>80</v>
      </c>
      <c r="D21" s="18" t="n">
        <v>1</v>
      </c>
      <c r="E21" s="46" t="n">
        <f aca="false">IFERROR(INDEX('Price List'!$I$3:$I$20,MATCH($C21,'Price List'!$C$3:$C$20,0)),IFERROR(INDEX($D$5:$D$5,MATCH($C21,$A$5:$A$5,0)),0))</f>
        <v>138400</v>
      </c>
      <c r="F21" s="46" t="n">
        <f aca="false">D21*E21</f>
        <v>138400</v>
      </c>
      <c r="G21" s="34" t="n">
        <f aca="false">D21*IFERROR(INDEX('Price List'!$K$3:$K$20,MATCH($C21,'Price List'!$C$3:$C$20,0)),IFERROR(INDEX($E$5:$E$5,MATCH($C21,$A$5:$A$5,0)),0))</f>
        <v>0</v>
      </c>
      <c r="H21" s="34" t="n">
        <f aca="false">D21*(IFERROR(INDEX('Price List'!$L$3:$L$20,MATCH($C21,'Price List'!$C$3:$C$20,0)),IFERROR(INDEX($F$5:$F$5,MATCH($C21,$A$5:$A$5,0)),0))+IFERROR(INDEX('Price List'!$M$3:$M$20,MATCH($C21,'Price List'!$C$3:$C$20,0)),0))</f>
        <v>0</v>
      </c>
      <c r="I21" s="34" t="n">
        <f aca="false">D21*IFERROR(INDEX('Price List'!$M$3:$M$20,MATCH($C21,'Price List'!$C$3:$C$20,0)),0)</f>
        <v>0</v>
      </c>
      <c r="J21" s="34" t="n">
        <f aca="false">D21*IFERROR(INDEX('Price List'!$O$3:$O$20,MATCH($C21,'Price List'!$C$3:$C$20,0)),0)</f>
        <v>2</v>
      </c>
      <c r="K21" s="34" t="n">
        <f aca="false">D21*IFERROR(INDEX('Price List'!$P$3:$P$20,MATCH($C21,'Price List'!$C$3:$C$20,0)),IFERROR(INDEX($G$5:$G$5,MATCH($C21,$A$5:$A$5,0)),0))</f>
        <v>0</v>
      </c>
      <c r="L21" s="34" t="n">
        <f aca="false">D21*IFERROR(INDEX('Price List'!$Q$3:$Q$20,MATCH($C21,'Price List'!$C$3:$C$20,0)),IFERROR(INDEX($H$5:$H$5,MATCH($C21,$A$5:$A$5,0)),0))</f>
        <v>0</v>
      </c>
      <c r="M21" s="32"/>
      <c r="N21" s="32"/>
      <c r="O21" s="32"/>
    </row>
    <row r="22" customFormat="false" ht="15" hidden="false" customHeight="false" outlineLevel="0" collapsed="false">
      <c r="A22" s="9" t="s">
        <v>14</v>
      </c>
      <c r="B22" s="9" t="s">
        <v>150</v>
      </c>
      <c r="C22" s="36" t="s">
        <v>102</v>
      </c>
      <c r="D22" s="36"/>
      <c r="E22" s="36"/>
      <c r="F22" s="48" t="n">
        <f aca="false">SUM(F20:F21)</f>
        <v>523150</v>
      </c>
      <c r="G22" s="37" t="n">
        <f aca="false">SUM(G20:G21)</f>
        <v>14</v>
      </c>
      <c r="H22" s="37" t="n">
        <f aca="false">SUM(H20:H21)</f>
        <v>10</v>
      </c>
      <c r="I22" s="37" t="n">
        <f aca="false">SUM(I20:I21)</f>
        <v>6</v>
      </c>
      <c r="J22" s="37" t="n">
        <f aca="false">SUM(J20:J21)</f>
        <v>2</v>
      </c>
      <c r="K22" s="37" t="n">
        <f aca="false">SUM(K20:K21)</f>
        <v>2</v>
      </c>
      <c r="L22" s="37" t="n">
        <f aca="false">SUM(L20:L21)</f>
        <v>0</v>
      </c>
      <c r="M22" s="48" t="n">
        <f aca="false">INDEX(요약!$C$4:$C$7,MATCH($A22,요약!$A$4:$A$7,0))</f>
        <v>50</v>
      </c>
      <c r="N22" s="48" t="n">
        <f aca="false">F22*M22</f>
        <v>26157500</v>
      </c>
      <c r="O22" s="49" t="str">
        <f aca="false">IF(AND(G22&gt;='기준사양 매칭'!H29,H22&gt;='기준사양 매칭'!K29,J22&gt;='기준사양 매칭'!L29,K22&gt;='기준사양 매칭'!M29,L22&gt;='기준사양 매칭'!N29),"충족",IF(G22&lt;'기준사양 매칭'!H29,"DI "&amp;('기준사양 매칭'!H29-G22)&amp;" 부족  ","")&amp;IF(H22&lt;'기준사양 매칭'!K29,"DO "&amp;('기준사양 매칭'!K29-H22)&amp;" 부족  ","")&amp;IF(J22&lt;'기준사양 매칭'!L29,"AO "&amp;('기준사양 매칭'!L29-J22)&amp;" 부족  ","")&amp;IF(K22&lt;'기준사양 매칭'!M29,"Serial "&amp;('기준사양 매칭'!M29-K22)&amp;" 부족  ","")&amp;IF(L22&lt;'기준사양 매칭'!N29,"ETH "&amp;('기준사양 매칭'!N29-L22)&amp;" 부족  ",""))</f>
        <v>충족</v>
      </c>
    </row>
    <row r="24" customFormat="false" ht="15" hidden="false" customHeight="false" outlineLevel="0" collapsed="false">
      <c r="A24" s="16" t="s">
        <v>14</v>
      </c>
      <c r="B24" s="16" t="s">
        <v>151</v>
      </c>
      <c r="C24" s="32" t="s">
        <v>51</v>
      </c>
      <c r="D24" s="18" t="n">
        <v>1</v>
      </c>
      <c r="E24" s="46" t="n">
        <f aca="false">IFERROR(INDEX('Price List'!$I$3:$I$20,MATCH($C24,'Price List'!$C$3:$C$20,0)),IFERROR(INDEX($D$5:$D$5,MATCH($C24,$A$5:$A$5,0)),0))</f>
        <v>392850</v>
      </c>
      <c r="F24" s="46" t="n">
        <f aca="false">D24*E24</f>
        <v>392850</v>
      </c>
      <c r="G24" s="34" t="n">
        <f aca="false">D24*IFERROR(INDEX('Price List'!$K$3:$K$20,MATCH($C24,'Price List'!$C$3:$C$20,0)),IFERROR(INDEX($E$5:$E$5,MATCH($C24,$A$5:$A$5,0)),0))</f>
        <v>14</v>
      </c>
      <c r="H24" s="34" t="n">
        <f aca="false">D24*(IFERROR(INDEX('Price List'!$L$3:$L$20,MATCH($C24,'Price List'!$C$3:$C$20,0)),IFERROR(INDEX($F$5:$F$5,MATCH($C24,$A$5:$A$5,0)),0))+IFERROR(INDEX('Price List'!$M$3:$M$20,MATCH($C24,'Price List'!$C$3:$C$20,0)),0))</f>
        <v>10</v>
      </c>
      <c r="I24" s="34" t="n">
        <f aca="false">D24*IFERROR(INDEX('Price List'!$M$3:$M$20,MATCH($C24,'Price List'!$C$3:$C$20,0)),0)</f>
        <v>0</v>
      </c>
      <c r="J24" s="34" t="n">
        <f aca="false">D24*IFERROR(INDEX('Price List'!$O$3:$O$20,MATCH($C24,'Price List'!$C$3:$C$20,0)),0)</f>
        <v>0</v>
      </c>
      <c r="K24" s="34" t="n">
        <f aca="false">D24*IFERROR(INDEX('Price List'!$P$3:$P$20,MATCH($C24,'Price List'!$C$3:$C$20,0)),IFERROR(INDEX($G$5:$G$5,MATCH($C24,$A$5:$A$5,0)),0))</f>
        <v>2</v>
      </c>
      <c r="L24" s="34" t="n">
        <f aca="false">D24*IFERROR(INDEX('Price List'!$Q$3:$Q$20,MATCH($C24,'Price List'!$C$3:$C$20,0)),IFERROR(INDEX($H$5:$H$5,MATCH($C24,$A$5:$A$5,0)),0))</f>
        <v>0</v>
      </c>
      <c r="M24" s="32"/>
      <c r="N24" s="32"/>
      <c r="O24" s="32"/>
    </row>
    <row r="25" customFormat="false" ht="15" hidden="false" customHeight="false" outlineLevel="0" collapsed="false">
      <c r="A25" s="16" t="s">
        <v>14</v>
      </c>
      <c r="B25" s="16" t="s">
        <v>151</v>
      </c>
      <c r="C25" s="32" t="s">
        <v>80</v>
      </c>
      <c r="D25" s="18" t="n">
        <v>1</v>
      </c>
      <c r="E25" s="46" t="n">
        <f aca="false">IFERROR(INDEX('Price List'!$I$3:$I$20,MATCH($C25,'Price List'!$C$3:$C$20,0)),IFERROR(INDEX($D$5:$D$5,MATCH($C25,$A$5:$A$5,0)),0))</f>
        <v>138400</v>
      </c>
      <c r="F25" s="46" t="n">
        <f aca="false">D25*E25</f>
        <v>138400</v>
      </c>
      <c r="G25" s="34" t="n">
        <f aca="false">D25*IFERROR(INDEX('Price List'!$K$3:$K$20,MATCH($C25,'Price List'!$C$3:$C$20,0)),IFERROR(INDEX($E$5:$E$5,MATCH($C25,$A$5:$A$5,0)),0))</f>
        <v>0</v>
      </c>
      <c r="H25" s="34" t="n">
        <f aca="false">D25*(IFERROR(INDEX('Price List'!$L$3:$L$20,MATCH($C25,'Price List'!$C$3:$C$20,0)),IFERROR(INDEX($F$5:$F$5,MATCH($C25,$A$5:$A$5,0)),0))+IFERROR(INDEX('Price List'!$M$3:$M$20,MATCH($C25,'Price List'!$C$3:$C$20,0)),0))</f>
        <v>0</v>
      </c>
      <c r="I25" s="34" t="n">
        <f aca="false">D25*IFERROR(INDEX('Price List'!$M$3:$M$20,MATCH($C25,'Price List'!$C$3:$C$20,0)),0)</f>
        <v>0</v>
      </c>
      <c r="J25" s="34" t="n">
        <f aca="false">D25*IFERROR(INDEX('Price List'!$O$3:$O$20,MATCH($C25,'Price List'!$C$3:$C$20,0)),0)</f>
        <v>2</v>
      </c>
      <c r="K25" s="34" t="n">
        <f aca="false">D25*IFERROR(INDEX('Price List'!$P$3:$P$20,MATCH($C25,'Price List'!$C$3:$C$20,0)),IFERROR(INDEX($G$5:$G$5,MATCH($C25,$A$5:$A$5,0)),0))</f>
        <v>0</v>
      </c>
      <c r="L25" s="34" t="n">
        <f aca="false">D25*IFERROR(INDEX('Price List'!$Q$3:$Q$20,MATCH($C25,'Price List'!$C$3:$C$20,0)),IFERROR(INDEX($H$5:$H$5,MATCH($C25,$A$5:$A$5,0)),0))</f>
        <v>0</v>
      </c>
      <c r="M25" s="32"/>
      <c r="N25" s="32"/>
      <c r="O25" s="32"/>
    </row>
    <row r="26" customFormat="false" ht="15" hidden="false" customHeight="false" outlineLevel="0" collapsed="false">
      <c r="A26" s="9" t="s">
        <v>14</v>
      </c>
      <c r="B26" s="9" t="s">
        <v>151</v>
      </c>
      <c r="C26" s="36" t="s">
        <v>102</v>
      </c>
      <c r="D26" s="36"/>
      <c r="E26" s="36"/>
      <c r="F26" s="48" t="n">
        <f aca="false">SUM(F24:F25)</f>
        <v>531250</v>
      </c>
      <c r="G26" s="37" t="n">
        <f aca="false">SUM(G24:G25)</f>
        <v>14</v>
      </c>
      <c r="H26" s="37" t="n">
        <f aca="false">SUM(H24:H25)</f>
        <v>10</v>
      </c>
      <c r="I26" s="37" t="n">
        <f aca="false">SUM(I24:I25)</f>
        <v>0</v>
      </c>
      <c r="J26" s="37" t="n">
        <f aca="false">SUM(J24:J25)</f>
        <v>2</v>
      </c>
      <c r="K26" s="37" t="n">
        <f aca="false">SUM(K24:K25)</f>
        <v>2</v>
      </c>
      <c r="L26" s="37" t="n">
        <f aca="false">SUM(L24:L25)</f>
        <v>0</v>
      </c>
      <c r="M26" s="48" t="n">
        <f aca="false">INDEX(요약!$C$4:$C$7,MATCH($A26,요약!$A$4:$A$7,0))</f>
        <v>50</v>
      </c>
      <c r="N26" s="48" t="n">
        <f aca="false">F26*M26</f>
        <v>26562500</v>
      </c>
      <c r="O26" s="49" t="str">
        <f aca="false">IF(AND(G26&gt;='기준사양 매칭'!H29,H26&gt;='기준사양 매칭'!K29,J26&gt;='기준사양 매칭'!L29,K26&gt;='기준사양 매칭'!M29,L26&gt;='기준사양 매칭'!N29),"충족",IF(G26&lt;'기준사양 매칭'!H29,"DI "&amp;('기준사양 매칭'!H29-G26)&amp;" 부족  ","")&amp;IF(H26&lt;'기준사양 매칭'!K29,"DO "&amp;('기준사양 매칭'!K29-H26)&amp;" 부족  ","")&amp;IF(J26&lt;'기준사양 매칭'!L29,"AO "&amp;('기준사양 매칭'!L29-J26)&amp;" 부족  ","")&amp;IF(K26&lt;'기준사양 매칭'!M29,"Serial "&amp;('기준사양 매칭'!M29-K26)&amp;" 부족  ","")&amp;IF(L26&lt;'기준사양 매칭'!N29,"ETH "&amp;('기준사양 매칭'!N29-L26)&amp;" 부족  ",""))</f>
        <v>충족</v>
      </c>
    </row>
    <row r="28" customFormat="false" ht="15" hidden="false" customHeight="false" outlineLevel="0" collapsed="false">
      <c r="A28" s="16" t="s">
        <v>16</v>
      </c>
      <c r="B28" s="16" t="s">
        <v>151</v>
      </c>
      <c r="C28" s="32" t="s">
        <v>143</v>
      </c>
      <c r="D28" s="18" t="n">
        <v>1</v>
      </c>
      <c r="E28" s="50" t="n">
        <f aca="false">IFERROR(INDEX('Price List'!$I$3:$I$20,MATCH($C28,'Price List'!$C$3:$C$20,0)),IFERROR(INDEX($D$5:$D$5,MATCH($C28,$A$5:$A$5,0)),0))</f>
        <v>423450</v>
      </c>
      <c r="F28" s="46" t="n">
        <f aca="false">D28*E28</f>
        <v>423450</v>
      </c>
      <c r="G28" s="34" t="n">
        <f aca="false">D28*IFERROR(INDEX('Price List'!$K$3:$K$20,MATCH($C28,'Price List'!$C$3:$C$20,0)),IFERROR(INDEX($E$5:$E$5,MATCH($C28,$A$5:$A$5,0)),0))</f>
        <v>24</v>
      </c>
      <c r="H28" s="34" t="n">
        <f aca="false">D28*(IFERROR(INDEX('Price List'!$L$3:$L$20,MATCH($C28,'Price List'!$C$3:$C$20,0)),IFERROR(INDEX($F$5:$F$5,MATCH($C28,$A$5:$A$5,0)),0))+IFERROR(INDEX('Price List'!$M$3:$M$20,MATCH($C28,'Price List'!$C$3:$C$20,0)),0))</f>
        <v>16</v>
      </c>
      <c r="I28" s="34" t="n">
        <f aca="false">D28*IFERROR(INDEX('Price List'!$M$3:$M$20,MATCH($C28,'Price List'!$C$3:$C$20,0)),0)</f>
        <v>0</v>
      </c>
      <c r="J28" s="34" t="n">
        <f aca="false">D28*IFERROR(INDEX('Price List'!$O$3:$O$20,MATCH($C28,'Price List'!$C$3:$C$20,0)),0)</f>
        <v>0</v>
      </c>
      <c r="K28" s="34" t="n">
        <f aca="false">D28*IFERROR(INDEX('Price List'!$P$3:$P$20,MATCH($C28,'Price List'!$C$3:$C$20,0)),IFERROR(INDEX($G$5:$G$5,MATCH($C28,$A$5:$A$5,0)),0))</f>
        <v>2</v>
      </c>
      <c r="L28" s="34" t="n">
        <f aca="false">D28*IFERROR(INDEX('Price List'!$Q$3:$Q$20,MATCH($C28,'Price List'!$C$3:$C$20,0)),IFERROR(INDEX($H$5:$H$5,MATCH($C28,$A$5:$A$5,0)),0))</f>
        <v>1</v>
      </c>
      <c r="M28" s="32"/>
      <c r="N28" s="32"/>
      <c r="O28" s="32"/>
    </row>
    <row r="29" customFormat="false" ht="15" hidden="false" customHeight="false" outlineLevel="0" collapsed="false">
      <c r="A29" s="16" t="s">
        <v>16</v>
      </c>
      <c r="B29" s="16" t="s">
        <v>151</v>
      </c>
      <c r="C29" s="32" t="s">
        <v>58</v>
      </c>
      <c r="D29" s="18" t="n">
        <v>2</v>
      </c>
      <c r="E29" s="46" t="n">
        <f aca="false">IFERROR(INDEX('Price List'!$I$3:$I$20,MATCH($C29,'Price List'!$C$3:$C$20,0)),IFERROR(INDEX($D$5:$D$5,MATCH($C29,$A$5:$A$5,0)),0))</f>
        <v>91200</v>
      </c>
      <c r="F29" s="46" t="n">
        <f aca="false">D29*E29</f>
        <v>182400</v>
      </c>
      <c r="G29" s="34" t="n">
        <f aca="false">D29*IFERROR(INDEX('Price List'!$K$3:$K$20,MATCH($C29,'Price List'!$C$3:$C$20,0)),IFERROR(INDEX($E$5:$E$5,MATCH($C29,$A$5:$A$5,0)),0))</f>
        <v>32</v>
      </c>
      <c r="H29" s="34" t="n">
        <f aca="false">D29*(IFERROR(INDEX('Price List'!$L$3:$L$20,MATCH($C29,'Price List'!$C$3:$C$20,0)),IFERROR(INDEX($F$5:$F$5,MATCH($C29,$A$5:$A$5,0)),0))+IFERROR(INDEX('Price List'!$M$3:$M$20,MATCH($C29,'Price List'!$C$3:$C$20,0)),0))</f>
        <v>0</v>
      </c>
      <c r="I29" s="34" t="n">
        <f aca="false">D29*IFERROR(INDEX('Price List'!$M$3:$M$20,MATCH($C29,'Price List'!$C$3:$C$20,0)),0)</f>
        <v>0</v>
      </c>
      <c r="J29" s="34" t="n">
        <f aca="false">D29*IFERROR(INDEX('Price List'!$O$3:$O$20,MATCH($C29,'Price List'!$C$3:$C$20,0)),0)</f>
        <v>0</v>
      </c>
      <c r="K29" s="34" t="n">
        <f aca="false">D29*IFERROR(INDEX('Price List'!$P$3:$P$20,MATCH($C29,'Price List'!$C$3:$C$20,0)),IFERROR(INDEX($G$5:$G$5,MATCH($C29,$A$5:$A$5,0)),0))</f>
        <v>0</v>
      </c>
      <c r="L29" s="34" t="n">
        <f aca="false">D29*IFERROR(INDEX('Price List'!$Q$3:$Q$20,MATCH($C29,'Price List'!$C$3:$C$20,0)),IFERROR(INDEX($H$5:$H$5,MATCH($C29,$A$5:$A$5,0)),0))</f>
        <v>0</v>
      </c>
      <c r="M29" s="32"/>
      <c r="N29" s="32"/>
      <c r="O29" s="32"/>
    </row>
    <row r="30" customFormat="false" ht="15" hidden="false" customHeight="false" outlineLevel="0" collapsed="false">
      <c r="A30" s="16" t="s">
        <v>16</v>
      </c>
      <c r="B30" s="16" t="s">
        <v>151</v>
      </c>
      <c r="C30" s="32" t="s">
        <v>60</v>
      </c>
      <c r="D30" s="18" t="n">
        <v>1</v>
      </c>
      <c r="E30" s="46" t="n">
        <f aca="false">IFERROR(INDEX('Price List'!$I$3:$I$20,MATCH($C30,'Price List'!$C$3:$C$20,0)),IFERROR(INDEX($D$5:$D$5,MATCH($C30,$A$5:$A$5,0)),0))</f>
        <v>80800</v>
      </c>
      <c r="F30" s="46" t="n">
        <f aca="false">D30*E30</f>
        <v>80800</v>
      </c>
      <c r="G30" s="34" t="n">
        <f aca="false">D30*IFERROR(INDEX('Price List'!$K$3:$K$20,MATCH($C30,'Price List'!$C$3:$C$20,0)),IFERROR(INDEX($E$5:$E$5,MATCH($C30,$A$5:$A$5,0)),0))</f>
        <v>8</v>
      </c>
      <c r="H30" s="34" t="n">
        <f aca="false">D30*(IFERROR(INDEX('Price List'!$L$3:$L$20,MATCH($C30,'Price List'!$C$3:$C$20,0)),IFERROR(INDEX($F$5:$F$5,MATCH($C30,$A$5:$A$5,0)),0))+IFERROR(INDEX('Price List'!$M$3:$M$20,MATCH($C30,'Price List'!$C$3:$C$20,0)),0))</f>
        <v>0</v>
      </c>
      <c r="I30" s="34" t="n">
        <f aca="false">D30*IFERROR(INDEX('Price List'!$M$3:$M$20,MATCH($C30,'Price List'!$C$3:$C$20,0)),0)</f>
        <v>0</v>
      </c>
      <c r="J30" s="34" t="n">
        <f aca="false">D30*IFERROR(INDEX('Price List'!$O$3:$O$20,MATCH($C30,'Price List'!$C$3:$C$20,0)),0)</f>
        <v>0</v>
      </c>
      <c r="K30" s="34" t="n">
        <f aca="false">D30*IFERROR(INDEX('Price List'!$P$3:$P$20,MATCH($C30,'Price List'!$C$3:$C$20,0)),IFERROR(INDEX($G$5:$G$5,MATCH($C30,$A$5:$A$5,0)),0))</f>
        <v>0</v>
      </c>
      <c r="L30" s="34" t="n">
        <f aca="false">D30*IFERROR(INDEX('Price List'!$Q$3:$Q$20,MATCH($C30,'Price List'!$C$3:$C$20,0)),IFERROR(INDEX($H$5:$H$5,MATCH($C30,$A$5:$A$5,0)),0))</f>
        <v>0</v>
      </c>
      <c r="M30" s="32"/>
      <c r="N30" s="32"/>
      <c r="O30" s="32"/>
    </row>
    <row r="31" customFormat="false" ht="15" hidden="false" customHeight="false" outlineLevel="0" collapsed="false">
      <c r="A31" s="16" t="s">
        <v>16</v>
      </c>
      <c r="B31" s="16" t="s">
        <v>151</v>
      </c>
      <c r="C31" s="32" t="s">
        <v>64</v>
      </c>
      <c r="D31" s="18" t="n">
        <v>1</v>
      </c>
      <c r="E31" s="46" t="n">
        <f aca="false">IFERROR(INDEX('Price List'!$I$3:$I$20,MATCH($C31,'Price List'!$C$3:$C$20,0)),IFERROR(INDEX($D$5:$D$5,MATCH($C31,$A$5:$A$5,0)),0))</f>
        <v>90800</v>
      </c>
      <c r="F31" s="46" t="n">
        <f aca="false">D31*E31</f>
        <v>90800</v>
      </c>
      <c r="G31" s="34" t="n">
        <f aca="false">D31*IFERROR(INDEX('Price List'!$K$3:$K$20,MATCH($C31,'Price List'!$C$3:$C$20,0)),IFERROR(INDEX($E$5:$E$5,MATCH($C31,$A$5:$A$5,0)),0))</f>
        <v>0</v>
      </c>
      <c r="H31" s="34" t="n">
        <f aca="false">D31*(IFERROR(INDEX('Price List'!$L$3:$L$20,MATCH($C31,'Price List'!$C$3:$C$20,0)),IFERROR(INDEX($F$5:$F$5,MATCH($C31,$A$5:$A$5,0)),0))+IFERROR(INDEX('Price List'!$M$3:$M$20,MATCH($C31,'Price List'!$C$3:$C$20,0)),0))</f>
        <v>16</v>
      </c>
      <c r="I31" s="34" t="n">
        <f aca="false">D31*IFERROR(INDEX('Price List'!$M$3:$M$20,MATCH($C31,'Price List'!$C$3:$C$20,0)),0)</f>
        <v>0</v>
      </c>
      <c r="J31" s="34" t="n">
        <f aca="false">D31*IFERROR(INDEX('Price List'!$O$3:$O$20,MATCH($C31,'Price List'!$C$3:$C$20,0)),0)</f>
        <v>0</v>
      </c>
      <c r="K31" s="34" t="n">
        <f aca="false">D31*IFERROR(INDEX('Price List'!$P$3:$P$20,MATCH($C31,'Price List'!$C$3:$C$20,0)),IFERROR(INDEX($G$5:$G$5,MATCH($C31,$A$5:$A$5,0)),0))</f>
        <v>0</v>
      </c>
      <c r="L31" s="34" t="n">
        <f aca="false">D31*IFERROR(INDEX('Price List'!$Q$3:$Q$20,MATCH($C31,'Price List'!$C$3:$C$20,0)),IFERROR(INDEX($H$5:$H$5,MATCH($C31,$A$5:$A$5,0)),0))</f>
        <v>0</v>
      </c>
      <c r="M31" s="32"/>
      <c r="N31" s="32"/>
      <c r="O31" s="32"/>
    </row>
    <row r="32" customFormat="false" ht="15" hidden="false" customHeight="false" outlineLevel="0" collapsed="false">
      <c r="A32" s="16" t="s">
        <v>16</v>
      </c>
      <c r="B32" s="16" t="s">
        <v>151</v>
      </c>
      <c r="C32" s="32" t="s">
        <v>70</v>
      </c>
      <c r="D32" s="18" t="n">
        <v>1</v>
      </c>
      <c r="E32" s="46" t="n">
        <f aca="false">IFERROR(INDEX('Price List'!$I$3:$I$20,MATCH($C32,'Price List'!$C$3:$C$20,0)),IFERROR(INDEX($D$5:$D$5,MATCH($C32,$A$5:$A$5,0)),0))</f>
        <v>67200</v>
      </c>
      <c r="F32" s="46" t="n">
        <f aca="false">D32*E32</f>
        <v>67200</v>
      </c>
      <c r="G32" s="34" t="n">
        <f aca="false">D32*IFERROR(INDEX('Price List'!$K$3:$K$20,MATCH($C32,'Price List'!$C$3:$C$20,0)),IFERROR(INDEX($E$5:$E$5,MATCH($C32,$A$5:$A$5,0)),0))</f>
        <v>0</v>
      </c>
      <c r="H32" s="34" t="n">
        <f aca="false">D32*(IFERROR(INDEX('Price List'!$L$3:$L$20,MATCH($C32,'Price List'!$C$3:$C$20,0)),IFERROR(INDEX($F$5:$F$5,MATCH($C32,$A$5:$A$5,0)),0))+IFERROR(INDEX('Price List'!$M$3:$M$20,MATCH($C32,'Price List'!$C$3:$C$20,0)),0))</f>
        <v>8</v>
      </c>
      <c r="I32" s="34" t="n">
        <f aca="false">D32*IFERROR(INDEX('Price List'!$M$3:$M$20,MATCH($C32,'Price List'!$C$3:$C$20,0)),0)</f>
        <v>0</v>
      </c>
      <c r="J32" s="34" t="n">
        <f aca="false">D32*IFERROR(INDEX('Price List'!$O$3:$O$20,MATCH($C32,'Price List'!$C$3:$C$20,0)),0)</f>
        <v>0</v>
      </c>
      <c r="K32" s="34" t="n">
        <f aca="false">D32*IFERROR(INDEX('Price List'!$P$3:$P$20,MATCH($C32,'Price List'!$C$3:$C$20,0)),IFERROR(INDEX($G$5:$G$5,MATCH($C32,$A$5:$A$5,0)),0))</f>
        <v>0</v>
      </c>
      <c r="L32" s="34" t="n">
        <f aca="false">D32*IFERROR(INDEX('Price List'!$Q$3:$Q$20,MATCH($C32,'Price List'!$C$3:$C$20,0)),IFERROR(INDEX($H$5:$H$5,MATCH($C32,$A$5:$A$5,0)),0))</f>
        <v>0</v>
      </c>
      <c r="M32" s="32"/>
      <c r="N32" s="32"/>
      <c r="O32" s="32"/>
    </row>
    <row r="33" customFormat="false" ht="15" hidden="false" customHeight="false" outlineLevel="0" collapsed="false">
      <c r="A33" s="16" t="s">
        <v>16</v>
      </c>
      <c r="B33" s="16" t="s">
        <v>151</v>
      </c>
      <c r="C33" s="32" t="s">
        <v>80</v>
      </c>
      <c r="D33" s="18" t="n">
        <v>1</v>
      </c>
      <c r="E33" s="46" t="n">
        <f aca="false">IFERROR(INDEX('Price List'!$I$3:$I$20,MATCH($C33,'Price List'!$C$3:$C$20,0)),IFERROR(INDEX($D$5:$D$5,MATCH($C33,$A$5:$A$5,0)),0))</f>
        <v>138400</v>
      </c>
      <c r="F33" s="46" t="n">
        <f aca="false">D33*E33</f>
        <v>138400</v>
      </c>
      <c r="G33" s="34" t="n">
        <f aca="false">D33*IFERROR(INDEX('Price List'!$K$3:$K$20,MATCH($C33,'Price List'!$C$3:$C$20,0)),IFERROR(INDEX($E$5:$E$5,MATCH($C33,$A$5:$A$5,0)),0))</f>
        <v>0</v>
      </c>
      <c r="H33" s="34" t="n">
        <f aca="false">D33*(IFERROR(INDEX('Price List'!$L$3:$L$20,MATCH($C33,'Price List'!$C$3:$C$20,0)),IFERROR(INDEX($F$5:$F$5,MATCH($C33,$A$5:$A$5,0)),0))+IFERROR(INDEX('Price List'!$M$3:$M$20,MATCH($C33,'Price List'!$C$3:$C$20,0)),0))</f>
        <v>0</v>
      </c>
      <c r="I33" s="34" t="n">
        <f aca="false">D33*IFERROR(INDEX('Price List'!$M$3:$M$20,MATCH($C33,'Price List'!$C$3:$C$20,0)),0)</f>
        <v>0</v>
      </c>
      <c r="J33" s="34" t="n">
        <f aca="false">D33*IFERROR(INDEX('Price List'!$O$3:$O$20,MATCH($C33,'Price List'!$C$3:$C$20,0)),0)</f>
        <v>2</v>
      </c>
      <c r="K33" s="34" t="n">
        <f aca="false">D33*IFERROR(INDEX('Price List'!$P$3:$P$20,MATCH($C33,'Price List'!$C$3:$C$20,0)),IFERROR(INDEX($G$5:$G$5,MATCH($C33,$A$5:$A$5,0)),0))</f>
        <v>0</v>
      </c>
      <c r="L33" s="34" t="n">
        <f aca="false">D33*IFERROR(INDEX('Price List'!$Q$3:$Q$20,MATCH($C33,'Price List'!$C$3:$C$20,0)),IFERROR(INDEX($H$5:$H$5,MATCH($C33,$A$5:$A$5,0)),0))</f>
        <v>0</v>
      </c>
      <c r="M33" s="32"/>
      <c r="N33" s="32"/>
      <c r="O33" s="32"/>
    </row>
    <row r="34" customFormat="false" ht="30" hidden="false" customHeight="true" outlineLevel="0" collapsed="false">
      <c r="A34" s="9" t="s">
        <v>16</v>
      </c>
      <c r="B34" s="9" t="s">
        <v>151</v>
      </c>
      <c r="C34" s="36" t="s">
        <v>102</v>
      </c>
      <c r="D34" s="36"/>
      <c r="E34" s="36"/>
      <c r="F34" s="48" t="n">
        <f aca="false">SUM(F28:F33)</f>
        <v>983050</v>
      </c>
      <c r="G34" s="37" t="n">
        <f aca="false">SUM(G28:G33)</f>
        <v>64</v>
      </c>
      <c r="H34" s="37" t="n">
        <f aca="false">SUM(H28:H33)</f>
        <v>40</v>
      </c>
      <c r="I34" s="37" t="n">
        <f aca="false">SUM(I28:I33)</f>
        <v>0</v>
      </c>
      <c r="J34" s="37" t="n">
        <f aca="false">SUM(J28:J33)</f>
        <v>2</v>
      </c>
      <c r="K34" s="37" t="n">
        <f aca="false">SUM(K28:K33)</f>
        <v>2</v>
      </c>
      <c r="L34" s="37" t="n">
        <f aca="false">SUM(L28:L33)</f>
        <v>1</v>
      </c>
      <c r="M34" s="48" t="n">
        <f aca="false">INDEX(요약!$C$4:$C$7,MATCH($A34,요약!$A$4:$A$7,0))</f>
        <v>100</v>
      </c>
      <c r="N34" s="48" t="n">
        <f aca="false">F34*M34</f>
        <v>98305000</v>
      </c>
      <c r="O34" s="51" t="str">
        <f aca="false">IF(AND(G34&gt;='기준사양 매칭'!H42,H34&gt;='기준사양 매칭'!K42,I34&gt;='기준사양 매칭'!K42,J34&gt;='기준사양 매칭'!L42,K34&gt;='기준사양 매칭'!M42,L34&gt;='기준사양 매칭'!N42),"충족",IF(G34&lt;'기준사양 매칭'!H42,"DI "&amp;('기준사양 매칭'!H42-G34)&amp;" 부족  ","")&amp;IF(H34&lt;'기준사양 매칭'!K42,"DO "&amp;('기준사양 매칭'!K42-H34)&amp;" 부족  ","")&amp;IF(I34&lt;'기준사양 매칭'!K42,"Relay DO "&amp;('기준사양 매칭'!K42-I34)&amp;" 부족  ","")&amp;IF(J34&lt;'기준사양 매칭'!L42,"AO "&amp;('기준사양 매칭'!L42-J34)&amp;" 부족  ","")&amp;IF(K34&lt;'기준사양 매칭'!M42,"Serial "&amp;('기준사양 매칭'!M42-K34)&amp;" 부족  ","")&amp;IF(L34&lt;'기준사양 매칭'!N42,"ETH "&amp;('기준사양 매칭'!N42-L34)&amp;" 부족  ",""))</f>
        <v>DI 38 부족  DO 14 부족  Relay DO 54 부족  AO 2 부족  </v>
      </c>
    </row>
    <row r="36" customFormat="false" ht="15" hidden="false" customHeight="false" outlineLevel="0" collapsed="false">
      <c r="A36" s="52" t="s">
        <v>152</v>
      </c>
    </row>
    <row r="37" customFormat="false" ht="30" hidden="false" customHeight="true" outlineLevel="0" collapsed="false">
      <c r="A37" s="2" t="s">
        <v>1</v>
      </c>
      <c r="B37" s="2" t="s">
        <v>134</v>
      </c>
      <c r="C37" s="15" t="s">
        <v>153</v>
      </c>
      <c r="D37" s="15" t="s">
        <v>154</v>
      </c>
      <c r="E37" s="15" t="s">
        <v>155</v>
      </c>
      <c r="F37" s="15" t="s">
        <v>156</v>
      </c>
      <c r="G37" s="15" t="s">
        <v>157</v>
      </c>
    </row>
    <row r="38" customFormat="false" ht="15" hidden="false" customHeight="false" outlineLevel="0" collapsed="false">
      <c r="A38" s="35" t="s">
        <v>10</v>
      </c>
      <c r="B38" s="53" t="n">
        <f aca="false">요약!C4</f>
        <v>200</v>
      </c>
      <c r="C38" s="20" t="n">
        <f aca="false">N12</f>
        <v>78570000</v>
      </c>
      <c r="D38" s="20" t="n">
        <f aca="false">N9</f>
        <v>76950000</v>
      </c>
      <c r="E38" s="40" t="n">
        <f aca="false">요약!H4</f>
        <v>78570000</v>
      </c>
      <c r="F38" s="40" t="n">
        <f aca="false">요약!G4</f>
        <v>91450000</v>
      </c>
      <c r="G38" s="20" t="n">
        <f aca="false">C38-E38</f>
        <v>0</v>
      </c>
    </row>
    <row r="39" customFormat="false" ht="15" hidden="false" customHeight="false" outlineLevel="0" collapsed="false">
      <c r="A39" s="35" t="s">
        <v>12</v>
      </c>
      <c r="B39" s="53" t="n">
        <f aca="false">요약!C5</f>
        <v>300</v>
      </c>
      <c r="C39" s="20" t="n">
        <f aca="false">N18</f>
        <v>125280000</v>
      </c>
      <c r="D39" s="20" t="n">
        <f aca="false">N15</f>
        <v>121905000</v>
      </c>
      <c r="E39" s="40" t="n">
        <f aca="false">요약!H5</f>
        <v>166800000</v>
      </c>
      <c r="F39" s="40" t="n">
        <f aca="false">요약!G5</f>
        <v>186615000</v>
      </c>
      <c r="G39" s="20" t="n">
        <f aca="false">C39-E39</f>
        <v>-41520000</v>
      </c>
    </row>
    <row r="40" customFormat="false" ht="15" hidden="false" customHeight="false" outlineLevel="0" collapsed="false">
      <c r="A40" s="35" t="s">
        <v>14</v>
      </c>
      <c r="B40" s="53" t="n">
        <f aca="false">요약!C6</f>
        <v>50</v>
      </c>
      <c r="C40" s="20" t="n">
        <f aca="false">N26</f>
        <v>26562500</v>
      </c>
      <c r="D40" s="20" t="n">
        <f aca="false">N22</f>
        <v>26157500</v>
      </c>
      <c r="E40" s="40" t="n">
        <f aca="false">요약!H6</f>
        <v>26562500</v>
      </c>
      <c r="F40" s="40" t="n">
        <f aca="false">요약!G6</f>
        <v>29782500</v>
      </c>
      <c r="G40" s="20" t="n">
        <f aca="false">C40-E40</f>
        <v>0</v>
      </c>
    </row>
    <row r="41" customFormat="false" ht="15" hidden="false" customHeight="false" outlineLevel="0" collapsed="false">
      <c r="A41" s="35" t="s">
        <v>16</v>
      </c>
      <c r="B41" s="53" t="n">
        <f aca="false">요약!C7</f>
        <v>100</v>
      </c>
      <c r="C41" s="20" t="n">
        <f aca="false">N34</f>
        <v>98305000</v>
      </c>
      <c r="D41" s="20" t="n">
        <f aca="false">N34</f>
        <v>98305000</v>
      </c>
      <c r="E41" s="40" t="n">
        <f aca="false">요약!H7</f>
        <v>144950000</v>
      </c>
      <c r="F41" s="40" t="n">
        <f aca="false">요약!G7</f>
        <v>144950000</v>
      </c>
      <c r="G41" s="20" t="n">
        <f aca="false">C41-E41</f>
        <v>-46645000</v>
      </c>
    </row>
    <row r="42" customFormat="false" ht="15" hidden="false" customHeight="false" outlineLevel="0" collapsed="false">
      <c r="A42" s="54" t="s">
        <v>18</v>
      </c>
      <c r="B42" s="54" t="n">
        <f aca="false">SUM(B38:B41)</f>
        <v>650</v>
      </c>
      <c r="C42" s="10" t="n">
        <f aca="false">SUM(C38:C41)</f>
        <v>328717500</v>
      </c>
      <c r="D42" s="10" t="n">
        <f aca="false">SUM(D38:D41)</f>
        <v>323317500</v>
      </c>
      <c r="E42" s="10" t="n">
        <f aca="false">SUM(E38:E41)</f>
        <v>416882500</v>
      </c>
      <c r="F42" s="10" t="n">
        <f aca="false">SUM(F38:F41)</f>
        <v>452797500</v>
      </c>
      <c r="G42" s="10" t="n">
        <f aca="false">SUM(G38:G41)</f>
        <v>-88165000</v>
      </c>
    </row>
    <row r="43" customFormat="false" ht="13.4" hidden="false" customHeight="false" outlineLevel="0" collapsed="false">
      <c r="A43" s="55" t="s">
        <v>158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</row>
    <row r="45" customFormat="false" ht="15" hidden="false" customHeight="true" outlineLevel="0" collapsed="false">
      <c r="A45" s="56" t="s">
        <v>159</v>
      </c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</row>
    <row r="46" customFormat="false" ht="30" hidden="false" customHeight="true" outlineLevel="0" collapsed="false">
      <c r="A46" s="57" t="s">
        <v>160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</row>
    <row r="47" customFormat="false" ht="30" hidden="false" customHeight="true" outlineLevel="0" collapsed="false">
      <c r="A47" s="57" t="s">
        <v>161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</row>
    <row r="48" customFormat="false" ht="30" hidden="false" customHeight="true" outlineLevel="0" collapsed="false">
      <c r="A48" s="58" t="s">
        <v>162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</row>
    <row r="49" customFormat="false" ht="30" hidden="false" customHeight="true" outlineLevel="0" collapsed="false">
      <c r="A49" s="58" t="s">
        <v>163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</row>
    <row r="50" customFormat="false" ht="30" hidden="false" customHeight="true" outlineLevel="0" collapsed="false">
      <c r="A50" s="58" t="s">
        <v>164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</row>
    <row r="51" customFormat="false" ht="30" hidden="false" customHeight="true" outlineLevel="0" collapsed="false">
      <c r="A51" s="58" t="s">
        <v>165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</row>
    <row r="52" customFormat="false" ht="30" hidden="false" customHeight="true" outlineLevel="0" collapsed="false">
      <c r="A52" s="58" t="s">
        <v>166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</row>
  </sheetData>
  <mergeCells count="13">
    <mergeCell ref="A1:O1"/>
    <mergeCell ref="A2:O2"/>
    <mergeCell ref="I4:O4"/>
    <mergeCell ref="I5:O5"/>
    <mergeCell ref="A43:O43"/>
    <mergeCell ref="A45:O45"/>
    <mergeCell ref="A46:O46"/>
    <mergeCell ref="A47:O47"/>
    <mergeCell ref="A48:O48"/>
    <mergeCell ref="A49:O49"/>
    <mergeCell ref="A50:O50"/>
    <mergeCell ref="A51:O51"/>
    <mergeCell ref="A52:O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2026-10-05T03:27:24Z</dcterms:created>
  <dc:creator>openpyxl</dc:creator>
  <dc:description/>
  <dc:language>en-US</dc:language>
  <cp:lastModifiedBy/>
  <dcterms:modified xsi:type="dcterms:W3CDTF">2026-10-05T03:27:24Z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