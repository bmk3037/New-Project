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CC 16점 vs 32점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<sst xmlns="http://schemas.openxmlformats.org/spreadsheetml/2006/main" count="124" uniqueCount="93">
  <si>
    <r>
      <rPr>
        <b val="true"/>
        <sz val="15"/>
        <rFont val="맑은 고딕"/>
        <family val="0"/>
        <charset val="1"/>
      </rPr>
      <t xml:space="preserve">MCC </t>
    </r>
    <r>
      <rPr>
        <b val="true"/>
        <sz val="15"/>
        <rFont val="WenQuanYi Zen Hei"/>
        <family val="2"/>
      </rPr>
      <t xml:space="preserve">구성 비교 — 현재</t>
    </r>
    <r>
      <rPr>
        <b val="true"/>
        <sz val="15"/>
        <rFont val="맑은 고딕"/>
        <family val="0"/>
        <charset val="1"/>
      </rPr>
      <t xml:space="preserve">(16</t>
    </r>
    <r>
      <rPr>
        <b val="true"/>
        <sz val="15"/>
        <rFont val="WenQuanYi Zen Hei"/>
        <family val="2"/>
      </rPr>
      <t xml:space="preserve">점 모듈</t>
    </r>
    <r>
      <rPr>
        <b val="true"/>
        <sz val="15"/>
        <rFont val="맑은 고딕"/>
        <family val="0"/>
        <charset val="1"/>
      </rPr>
      <t xml:space="preserve">) vs 32</t>
    </r>
    <r>
      <rPr>
        <b val="true"/>
        <sz val="15"/>
        <rFont val="WenQuanYi Zen Hei"/>
        <family val="2"/>
      </rPr>
      <t xml:space="preserve">점 모듈안</t>
    </r>
  </si>
  <si>
    <r>
      <rPr>
        <sz val="10"/>
        <color rgb="FF595959"/>
        <rFont val="WenQuanYi Zen Hei"/>
        <family val="2"/>
      </rPr>
      <t xml:space="preserve">노란 칸만 입력하세요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슈나이더에서 받은 리스트가를 넣거나</t>
    </r>
    <r>
      <rPr>
        <sz val="10"/>
        <color rgb="FF595959"/>
        <rFont val="맑은 고딕"/>
        <family val="0"/>
        <charset val="1"/>
      </rPr>
      <t xml:space="preserve">, </t>
    </r>
    <r>
      <rPr>
        <sz val="10"/>
        <color rgb="FF595959"/>
        <rFont val="WenQuanYi Zen Hei"/>
        <family val="2"/>
      </rPr>
      <t xml:space="preserve">매입가</t>
    </r>
    <r>
      <rPr>
        <sz val="10"/>
        <color rgb="FF595959"/>
        <rFont val="맑은 고딕"/>
        <family val="0"/>
        <charset val="1"/>
      </rPr>
      <t xml:space="preserve">(NP)</t>
    </r>
    <r>
      <rPr>
        <sz val="10"/>
        <color rgb="FF595959"/>
        <rFont val="WenQuanYi Zen Hei"/>
        <family val="2"/>
      </rPr>
      <t xml:space="preserve">를 받았으면 </t>
    </r>
    <r>
      <rPr>
        <sz val="10"/>
        <color rgb="FF595959"/>
        <rFont val="맑은 고딕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매입가 직접입력</t>
    </r>
    <r>
      <rPr>
        <sz val="10"/>
        <color rgb="FF595959"/>
        <rFont val="맑은 고딕"/>
        <family val="0"/>
        <charset val="1"/>
      </rPr>
      <t xml:space="preserve">' </t>
    </r>
    <r>
      <rPr>
        <sz val="10"/>
        <color rgb="FF595959"/>
        <rFont val="WenQuanYi Zen Hei"/>
        <family val="2"/>
      </rPr>
      <t xml:space="preserve">칸에 넣으면 됩니다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나머지는 자동 계산됩니다</t>
    </r>
    <r>
      <rPr>
        <sz val="10"/>
        <color rgb="FF595959"/>
        <rFont val="맑은 고딕"/>
        <family val="0"/>
        <charset val="1"/>
      </rPr>
      <t xml:space="preserve">.</t>
    </r>
  </si>
  <si>
    <t xml:space="preserve">① 기본 입력</t>
  </si>
  <si>
    <r>
      <rPr>
        <b val="true"/>
        <sz val="10"/>
        <rFont val="WenQuanYi Zen Hei"/>
        <family val="2"/>
      </rPr>
      <t xml:space="preserve">현재 제출 견적가 </t>
    </r>
    <r>
      <rPr>
        <b val="true"/>
        <sz val="10"/>
        <rFont val="맑은 고딕"/>
        <family val="0"/>
        <charset val="1"/>
      </rPr>
      <t xml:space="preserve">(MCC)</t>
    </r>
  </si>
  <si>
    <r>
      <rPr>
        <b val="true"/>
        <sz val="10"/>
        <rFont val="맑은 고딕"/>
        <family val="0"/>
        <charset val="1"/>
      </rPr>
      <t xml:space="preserve">LS </t>
    </r>
    <r>
      <rPr>
        <b val="true"/>
        <sz val="10"/>
        <rFont val="WenQuanYi Zen Hei"/>
        <family val="2"/>
      </rPr>
      <t xml:space="preserve">가격 </t>
    </r>
    <r>
      <rPr>
        <b val="true"/>
        <sz val="10"/>
        <rFont val="맑은 고딕"/>
        <family val="0"/>
        <charset val="1"/>
      </rPr>
      <t xml:space="preserve">(MCC)</t>
    </r>
  </si>
  <si>
    <r>
      <rPr>
        <b val="true"/>
        <sz val="10"/>
        <rFont val="맑은 고딕"/>
        <family val="0"/>
        <charset val="1"/>
      </rPr>
      <t xml:space="preserve">32</t>
    </r>
    <r>
      <rPr>
        <b val="true"/>
        <sz val="10"/>
        <rFont val="WenQuanYi Zen Hei"/>
        <family val="2"/>
      </rPr>
      <t xml:space="preserve">점안 제안가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검토용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</si>
  <si>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color rgb="FFC00000"/>
        <rFont val="맑은 고딕"/>
        <family val="0"/>
        <charset val="1"/>
      </rPr>
      <t xml:space="preserve">← 32</t>
    </r>
    <r>
      <rPr>
        <sz val="10"/>
        <color rgb="FFC00000"/>
        <rFont val="WenQuanYi Zen Hei"/>
        <family val="2"/>
      </rPr>
      <t xml:space="preserve">점안으로 낼 가격을 넣어 보세요</t>
    </r>
  </si>
  <si>
    <r>
      <rPr>
        <b val="true"/>
        <sz val="10"/>
        <rFont val="맑은 고딕"/>
        <family val="0"/>
        <charset val="1"/>
      </rPr>
      <t xml:space="preserve">MCC </t>
    </r>
    <r>
      <rPr>
        <b val="true"/>
        <sz val="10"/>
        <rFont val="WenQuanYi Zen Hei"/>
        <family val="2"/>
      </rPr>
      <t xml:space="preserve">연간 수량</t>
    </r>
  </si>
  <si>
    <r>
      <rPr>
        <b val="true"/>
        <sz val="10"/>
        <rFont val="WenQuanYi Zen Hei"/>
        <family val="2"/>
      </rPr>
      <t xml:space="preserve">모듈 할인율 </t>
    </r>
    <r>
      <rPr>
        <b val="true"/>
        <sz val="10"/>
        <rFont val="맑은 고딕"/>
        <family val="0"/>
        <charset val="1"/>
      </rPr>
      <t xml:space="preserve">(DF)</t>
    </r>
  </si>
  <si>
    <r>
      <rPr>
        <b val="true"/>
        <sz val="10"/>
        <rFont val="맑은 고딕"/>
        <family val="0"/>
        <charset val="1"/>
      </rPr>
      <t xml:space="preserve">CPU </t>
    </r>
    <r>
      <rPr>
        <b val="true"/>
        <sz val="10"/>
        <rFont val="WenQuanYi Zen Hei"/>
        <family val="2"/>
      </rPr>
      <t xml:space="preserve">할인율 </t>
    </r>
    <r>
      <rPr>
        <b val="true"/>
        <sz val="10"/>
        <rFont val="맑은 고딕"/>
        <family val="0"/>
        <charset val="1"/>
      </rPr>
      <t xml:space="preserve">(DF)</t>
    </r>
  </si>
  <si>
    <t xml:space="preserve">최소 확보 마진율</t>
  </si>
  <si>
    <r>
      <rPr>
        <b val="true"/>
        <sz val="11"/>
        <rFont val="WenQuanYi Zen Hei"/>
        <family val="2"/>
      </rPr>
      <t xml:space="preserve">② 현재 구성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제출 견적 기준</t>
    </r>
    <r>
      <rPr>
        <b val="true"/>
        <sz val="11"/>
        <rFont val="맑은 고딕"/>
        <family val="0"/>
        <charset val="1"/>
      </rPr>
      <t xml:space="preserve">, 16</t>
    </r>
    <r>
      <rPr>
        <b val="true"/>
        <sz val="11"/>
        <rFont val="WenQuanYi Zen Hei"/>
        <family val="2"/>
      </rPr>
      <t xml:space="preserve">점 모듈</t>
    </r>
    <r>
      <rPr>
        <b val="true"/>
        <sz val="11"/>
        <rFont val="맑은 고딕"/>
        <family val="0"/>
        <charset val="1"/>
      </rPr>
      <t xml:space="preserve">) — </t>
    </r>
    <r>
      <rPr>
        <b val="true"/>
        <sz val="11"/>
        <rFont val="WenQuanYi Zen Hei"/>
        <family val="2"/>
      </rPr>
      <t xml:space="preserve">고정</t>
    </r>
  </si>
  <si>
    <t xml:space="preserve">No.</t>
  </si>
  <si>
    <t xml:space="preserve">모델</t>
  </si>
  <si>
    <t xml:space="preserve">설명</t>
  </si>
  <si>
    <t xml:space="preserve">수량</t>
  </si>
  <si>
    <t xml:space="preserve">DI</t>
  </si>
  <si>
    <t xml:space="preserve">DO</t>
  </si>
  <si>
    <t xml:space="preserve">AO</t>
  </si>
  <si>
    <t xml:space="preserve">리스트가</t>
  </si>
  <si>
    <t xml:space="preserve">DF</t>
  </si>
  <si>
    <t xml:space="preserve">매입가
직접입력</t>
  </si>
  <si>
    <t xml:space="preserve">적용 매입단가</t>
  </si>
  <si>
    <t xml:space="preserve">금액</t>
  </si>
  <si>
    <t xml:space="preserve">비고</t>
  </si>
  <si>
    <t xml:space="preserve">TM241CE40T</t>
  </si>
  <si>
    <r>
      <rPr>
        <sz val="10"/>
        <rFont val="맑은 고딕"/>
        <family val="0"/>
        <charset val="1"/>
      </rPr>
      <t xml:space="preserve">CPU + </t>
    </r>
    <r>
      <rPr>
        <sz val="10"/>
        <rFont val="WenQuanYi Zen Hei"/>
        <family val="2"/>
      </rPr>
      <t xml:space="preserve">이더넷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입력 </t>
    </r>
    <r>
      <rPr>
        <sz val="10"/>
        <rFont val="맑은 고딕"/>
        <family val="0"/>
        <charset val="1"/>
      </rPr>
      <t xml:space="preserve">24 / </t>
    </r>
    <r>
      <rPr>
        <sz val="10"/>
        <rFont val="WenQuanYi Zen Hei"/>
        <family val="2"/>
      </rPr>
      <t xml:space="preserve">출력 </t>
    </r>
    <r>
      <rPr>
        <sz val="10"/>
        <rFont val="맑은 고딕"/>
        <family val="0"/>
        <charset val="1"/>
      </rPr>
      <t xml:space="preserve">16)</t>
    </r>
  </si>
  <si>
    <t xml:space="preserve">TM3DI16</t>
  </si>
  <si>
    <r>
      <rPr>
        <sz val="10"/>
        <rFont val="WenQuanYi Zen Hei"/>
        <family val="2"/>
      </rPr>
      <t xml:space="preserve">디지털 입력 </t>
    </r>
    <r>
      <rPr>
        <sz val="10"/>
        <rFont val="맑은 고딕"/>
        <family val="0"/>
        <charset val="1"/>
      </rPr>
      <t xml:space="preserve">16</t>
    </r>
    <r>
      <rPr>
        <sz val="10"/>
        <rFont val="WenQuanYi Zen Hei"/>
        <family val="2"/>
      </rPr>
      <t xml:space="preserve">점</t>
    </r>
  </si>
  <si>
    <t xml:space="preserve">TM3DQ16T</t>
  </si>
  <si>
    <r>
      <rPr>
        <sz val="10"/>
        <rFont val="WenQuanYi Zen Hei"/>
        <family val="2"/>
      </rPr>
      <t xml:space="preserve">트랜지스터 출력 </t>
    </r>
    <r>
      <rPr>
        <sz val="10"/>
        <rFont val="맑은 고딕"/>
        <family val="0"/>
        <charset val="1"/>
      </rPr>
      <t xml:space="preserve">16</t>
    </r>
    <r>
      <rPr>
        <sz val="10"/>
        <rFont val="WenQuanYi Zen Hei"/>
        <family val="2"/>
      </rPr>
      <t xml:space="preserve">점</t>
    </r>
  </si>
  <si>
    <t xml:space="preserve">TM3DQ8T</t>
  </si>
  <si>
    <r>
      <rPr>
        <sz val="10"/>
        <rFont val="WenQuanYi Zen Hei"/>
        <family val="2"/>
      </rPr>
      <t xml:space="preserve">트랜지스터 출력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점</t>
    </r>
  </si>
  <si>
    <t xml:space="preserve">TM3AQ4</t>
  </si>
  <si>
    <r>
      <rPr>
        <sz val="10"/>
        <rFont val="WenQuanYi Zen Hei"/>
        <family val="2"/>
      </rPr>
      <t xml:space="preserve">아날로그 출력 </t>
    </r>
    <r>
      <rPr>
        <sz val="10"/>
        <rFont val="맑은 고딕"/>
        <family val="0"/>
        <charset val="1"/>
      </rPr>
      <t xml:space="preserve">4CH</t>
    </r>
  </si>
  <si>
    <t xml:space="preserve">TM3XTRA1</t>
  </si>
  <si>
    <r>
      <rPr>
        <sz val="10"/>
        <rFont val="맑은 고딕"/>
        <family val="0"/>
        <charset val="1"/>
      </rPr>
      <t xml:space="preserve">TM3 </t>
    </r>
    <r>
      <rPr>
        <sz val="10"/>
        <rFont val="WenQuanYi Zen Hei"/>
        <family val="2"/>
      </rPr>
      <t xml:space="preserve">버스 확장 송신</t>
    </r>
  </si>
  <si>
    <r>
      <rPr>
        <sz val="10"/>
        <rFont val="WenQuanYi Zen Hei"/>
        <family val="2"/>
      </rPr>
      <t xml:space="preserve">모듈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개 초과로 추가</t>
    </r>
  </si>
  <si>
    <t xml:space="preserve">TM3XREC1</t>
  </si>
  <si>
    <r>
      <rPr>
        <sz val="10"/>
        <rFont val="맑은 고딕"/>
        <family val="0"/>
        <charset val="1"/>
      </rPr>
      <t xml:space="preserve">TM3 </t>
    </r>
    <r>
      <rPr>
        <sz val="10"/>
        <rFont val="WenQuanYi Zen Hei"/>
        <family val="2"/>
      </rPr>
      <t xml:space="preserve">버스 확장 수신</t>
    </r>
  </si>
  <si>
    <t xml:space="preserve">합계</t>
  </si>
  <si>
    <r>
      <rPr>
        <b val="true"/>
        <sz val="11"/>
        <rFont val="맑은 고딕"/>
        <family val="0"/>
        <charset val="1"/>
      </rPr>
      <t xml:space="preserve">③ 32</t>
    </r>
    <r>
      <rPr>
        <b val="true"/>
        <sz val="11"/>
        <rFont val="WenQuanYi Zen Hei"/>
        <family val="2"/>
      </rPr>
      <t xml:space="preserve">점 모듈안 — 수량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WenQuanYi Zen Hei"/>
        <family val="2"/>
      </rPr>
      <t xml:space="preserve">단가 입력</t>
    </r>
  </si>
  <si>
    <t xml:space="preserve">TM3DI32K</t>
  </si>
  <si>
    <r>
      <rPr>
        <sz val="10"/>
        <rFont val="WenQuanYi Zen Hei"/>
        <family val="2"/>
      </rPr>
      <t xml:space="preserve">디지털 입력 </t>
    </r>
    <r>
      <rPr>
        <sz val="10"/>
        <rFont val="맑은 고딕"/>
        <family val="0"/>
        <charset val="1"/>
      </rPr>
      <t xml:space="preserve">32</t>
    </r>
    <r>
      <rPr>
        <sz val="10"/>
        <rFont val="WenQuanYi Zen Hei"/>
        <family val="2"/>
      </rPr>
      <t xml:space="preserve">점 </t>
    </r>
    <r>
      <rPr>
        <sz val="10"/>
        <rFont val="맑은 고딕"/>
        <family val="0"/>
        <charset val="1"/>
      </rPr>
      <t xml:space="preserve">(HE10 </t>
    </r>
    <r>
      <rPr>
        <sz val="10"/>
        <rFont val="WenQuanYi Zen Hei"/>
        <family val="2"/>
      </rPr>
      <t xml:space="preserve">커넥터</t>
    </r>
    <r>
      <rPr>
        <sz val="10"/>
        <rFont val="맑은 고딕"/>
        <family val="0"/>
        <charset val="1"/>
      </rPr>
      <t xml:space="preserve">)</t>
    </r>
  </si>
  <si>
    <t xml:space="preserve">TM3DQ32TK</t>
  </si>
  <si>
    <r>
      <rPr>
        <sz val="10"/>
        <rFont val="WenQuanYi Zen Hei"/>
        <family val="2"/>
      </rPr>
      <t xml:space="preserve">트랜지스터 출력 </t>
    </r>
    <r>
      <rPr>
        <sz val="10"/>
        <rFont val="맑은 고딕"/>
        <family val="0"/>
        <charset val="1"/>
      </rPr>
      <t xml:space="preserve">32</t>
    </r>
    <r>
      <rPr>
        <sz val="10"/>
        <rFont val="WenQuanYi Zen Hei"/>
        <family val="2"/>
      </rPr>
      <t xml:space="preserve">점 </t>
    </r>
    <r>
      <rPr>
        <sz val="10"/>
        <rFont val="맑은 고딕"/>
        <family val="0"/>
        <charset val="1"/>
      </rPr>
      <t xml:space="preserve">(HE10 </t>
    </r>
    <r>
      <rPr>
        <sz val="10"/>
        <rFont val="WenQuanYi Zen Hei"/>
        <family val="2"/>
      </rPr>
      <t xml:space="preserve">커넥터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</si>
  <si>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HE10 </t>
    </r>
    <r>
      <rPr>
        <b val="true"/>
        <sz val="10"/>
        <rFont val="WenQuanYi Zen Hei"/>
        <family val="2"/>
      </rPr>
      <t xml:space="preserve">케이블</t>
    </r>
  </si>
  <si>
    <r>
      <rPr>
        <sz val="10"/>
        <rFont val="맑은 고딕"/>
        <family val="0"/>
        <charset val="1"/>
      </rPr>
      <t xml:space="preserve">32</t>
    </r>
    <r>
      <rPr>
        <sz val="10"/>
        <rFont val="WenQuanYi Zen Hei"/>
        <family val="2"/>
      </rPr>
      <t xml:space="preserve">점 모듈 커넥터 케이블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모델명 슈나이더 확인</t>
    </r>
    <r>
      <rPr>
        <sz val="10"/>
        <rFont val="맑은 고딕"/>
        <family val="0"/>
        <charset val="1"/>
      </rPr>
      <t xml:space="preserve">)</t>
    </r>
  </si>
  <si>
    <t xml:space="preserve">-</t>
  </si>
  <si>
    <r>
      <rPr>
        <b val="true"/>
        <sz val="10"/>
        <rFont val="WenQuanYi Zen Hei"/>
        <family val="2"/>
      </rPr>
      <t xml:space="preserve">단자대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선택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</si>
  <si>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Telefast </t>
    </r>
    <r>
      <rPr>
        <sz val="10"/>
        <rFont val="WenQuanYi Zen Hei"/>
        <family val="2"/>
      </rPr>
      <t xml:space="preserve">등 중계 단자대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모델명 슈나이더 확인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</si>
  <si>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※ 케이블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단자대는 할인율 없이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매입가 직접입력</t>
    </r>
    <r>
      <rPr>
        <sz val="9"/>
        <color rgb="FF595959"/>
        <rFont val="맑은 고딕"/>
        <family val="0"/>
        <charset val="1"/>
      </rPr>
      <t xml:space="preserve">' </t>
    </r>
    <r>
      <rPr>
        <sz val="9"/>
        <color rgb="FF595959"/>
        <rFont val="WenQuanYi Zen Hei"/>
        <family val="2"/>
      </rPr>
      <t xml:space="preserve">칸에 매입가를 넣으세요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버스 확장</t>
    </r>
    <r>
      <rPr>
        <sz val="9"/>
        <color rgb="FF595959"/>
        <rFont val="맑은 고딕"/>
        <family val="0"/>
        <charset val="1"/>
      </rPr>
      <t xml:space="preserve">(XTRA1/XREC1)</t>
    </r>
    <r>
      <rPr>
        <sz val="9"/>
        <color rgb="FF595959"/>
        <rFont val="WenQuanYi Zen Hei"/>
        <family val="2"/>
      </rPr>
      <t xml:space="preserve">은 </t>
    </r>
    <r>
      <rPr>
        <sz val="9"/>
        <color rgb="FF595959"/>
        <rFont val="맑은 고딕"/>
        <family val="0"/>
        <charset val="1"/>
      </rPr>
      <t xml:space="preserve">I/O </t>
    </r>
    <r>
      <rPr>
        <sz val="9"/>
        <color rgb="FF595959"/>
        <rFont val="WenQuanYi Zen Hei"/>
        <family val="2"/>
      </rPr>
      <t xml:space="preserve">모듈이 </t>
    </r>
    <r>
      <rPr>
        <sz val="9"/>
        <color rgb="FF595959"/>
        <rFont val="맑은 고딕"/>
        <family val="0"/>
        <charset val="1"/>
      </rPr>
      <t xml:space="preserve">7</t>
    </r>
    <r>
      <rPr>
        <sz val="9"/>
        <color rgb="FF595959"/>
        <rFont val="WenQuanYi Zen Hei"/>
        <family val="2"/>
      </rPr>
      <t xml:space="preserve">개를 넘을 때만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씩 넣으면 됩니다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</si>
  <si>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④ 구성 점검 </t>
    </r>
    <r>
      <rPr>
        <b val="true"/>
        <sz val="11"/>
        <rFont val="맑은 고딕"/>
        <family val="0"/>
        <charset val="1"/>
      </rPr>
      <t xml:space="preserve">(Techross </t>
    </r>
    <r>
      <rPr>
        <b val="true"/>
        <sz val="11"/>
        <rFont val="WenQuanYi Zen Hei"/>
        <family val="2"/>
      </rPr>
      <t xml:space="preserve">기준 </t>
    </r>
    <r>
      <rPr>
        <b val="true"/>
        <sz val="11"/>
        <rFont val="맑은 고딕"/>
        <family val="0"/>
        <charset val="1"/>
      </rPr>
      <t xml:space="preserve">DI 102 / DO 54 / AO 4)</t>
    </r>
  </si>
  <si>
    <t xml:space="preserve">항목</t>
  </si>
  <si>
    <r>
      <rPr>
        <b val="true"/>
        <sz val="10"/>
        <color rgb="FFFFFFFF"/>
        <rFont val="맑은 고딕"/>
        <family val="0"/>
        <charset val="1"/>
      </rPr>
      <t xml:space="preserve">32</t>
    </r>
    <r>
      <rPr>
        <b val="true"/>
        <sz val="10"/>
        <color rgb="FFFFFFFF"/>
        <rFont val="WenQuanYi Zen Hei"/>
        <family val="2"/>
      </rPr>
      <t xml:space="preserve">점안</t>
    </r>
  </si>
  <si>
    <t xml:space="preserve">기준</t>
  </si>
  <si>
    <t xml:space="preserve">판정</t>
  </si>
  <si>
    <r>
      <rPr>
        <b val="true"/>
        <sz val="10"/>
        <rFont val="맑은 고딕"/>
        <family val="0"/>
        <charset val="1"/>
      </rPr>
      <t xml:space="preserve">DI </t>
    </r>
    <r>
      <rPr>
        <b val="true"/>
        <sz val="10"/>
        <rFont val="WenQuanYi Zen Hei"/>
        <family val="2"/>
      </rPr>
      <t xml:space="preserve">점수</t>
    </r>
  </si>
  <si>
    <t xml:space="preserve">≥ 102</t>
  </si>
  <si>
    <r>
      <rPr>
        <b val="true"/>
        <sz val="10"/>
        <rFont val="맑은 고딕"/>
        <family val="0"/>
        <charset val="1"/>
      </rPr>
      <t xml:space="preserve">DO </t>
    </r>
    <r>
      <rPr>
        <b val="true"/>
        <sz val="10"/>
        <rFont val="WenQuanYi Zen Hei"/>
        <family val="2"/>
      </rPr>
      <t xml:space="preserve">점수</t>
    </r>
  </si>
  <si>
    <t xml:space="preserve">≥ 54</t>
  </si>
  <si>
    <r>
      <rPr>
        <b val="true"/>
        <sz val="10"/>
        <rFont val="맑은 고딕"/>
        <family val="0"/>
        <charset val="1"/>
      </rPr>
      <t xml:space="preserve">AO </t>
    </r>
    <r>
      <rPr>
        <b val="true"/>
        <sz val="10"/>
        <rFont val="WenQuanYi Zen Hei"/>
        <family val="2"/>
      </rPr>
      <t xml:space="preserve">점수</t>
    </r>
  </si>
  <si>
    <t xml:space="preserve">≥ 4</t>
  </si>
  <si>
    <r>
      <rPr>
        <b val="true"/>
        <sz val="10"/>
        <rFont val="맑은 고딕"/>
        <family val="0"/>
        <charset val="1"/>
      </rPr>
      <t xml:space="preserve">I/O </t>
    </r>
    <r>
      <rPr>
        <b val="true"/>
        <sz val="10"/>
        <rFont val="WenQuanYi Zen Hei"/>
        <family val="2"/>
      </rPr>
      <t xml:space="preserve">모듈 수 </t>
    </r>
    <r>
      <rPr>
        <b val="true"/>
        <sz val="10"/>
        <rFont val="맑은 고딕"/>
        <family val="0"/>
        <charset val="1"/>
      </rPr>
      <t xml:space="preserve">(CPU </t>
    </r>
    <r>
      <rPr>
        <b val="true"/>
        <sz val="10"/>
        <rFont val="WenQuanYi Zen Hei"/>
        <family val="2"/>
      </rPr>
      <t xml:space="preserve">제외</t>
    </r>
    <r>
      <rPr>
        <b val="true"/>
        <sz val="10"/>
        <rFont val="맑은 고딕"/>
        <family val="0"/>
        <charset val="1"/>
      </rPr>
      <t xml:space="preserve">)</t>
    </r>
  </si>
  <si>
    <t xml:space="preserve">≤ 7</t>
  </si>
  <si>
    <t xml:space="preserve">단가 미입력 항목</t>
  </si>
  <si>
    <t xml:space="preserve">0</t>
  </si>
  <si>
    <t xml:space="preserve">⑤ 비교 결과</t>
  </si>
  <si>
    <t xml:space="preserve">구분</t>
  </si>
  <si>
    <t xml:space="preserve">매입가</t>
  </si>
  <si>
    <t xml:space="preserve">견적가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</si>
  <si>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대 마진</t>
    </r>
  </si>
  <si>
    <t xml:space="preserve">마진율</t>
  </si>
  <si>
    <t xml:space="preserve">연간 마진</t>
  </si>
  <si>
    <r>
      <rPr>
        <b val="true"/>
        <sz val="10"/>
        <color rgb="FFFFFFFF"/>
        <rFont val="맑은 고딕"/>
        <family val="0"/>
        <charset val="1"/>
      </rPr>
      <t xml:space="preserve">LS </t>
    </r>
    <r>
      <rPr>
        <b val="true"/>
        <sz val="10"/>
        <color rgb="FFFFFFFF"/>
        <rFont val="WenQuanYi Zen Hei"/>
        <family val="2"/>
      </rPr>
      <t xml:space="preserve">대비</t>
    </r>
  </si>
  <si>
    <r>
      <rPr>
        <b val="true"/>
        <sz val="10"/>
        <rFont val="WenQuanYi Zen Hei"/>
        <family val="2"/>
      </rPr>
      <t xml:space="preserve">현재 </t>
    </r>
    <r>
      <rPr>
        <b val="true"/>
        <sz val="10"/>
        <rFont val="맑은 고딕"/>
        <family val="0"/>
        <charset val="1"/>
      </rPr>
      <t xml:space="preserve">16</t>
    </r>
    <r>
      <rPr>
        <b val="true"/>
        <sz val="10"/>
        <rFont val="WenQuanYi Zen Hei"/>
        <family val="2"/>
      </rPr>
      <t xml:space="preserve">점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제출가</t>
    </r>
    <r>
      <rPr>
        <b val="true"/>
        <sz val="10"/>
        <rFont val="맑은 고딕"/>
        <family val="0"/>
        <charset val="1"/>
      </rPr>
      <t xml:space="preserve">)</t>
    </r>
  </si>
  <si>
    <t xml:space="preserve">현재 제출 상태</t>
  </si>
  <si>
    <r>
      <rPr>
        <b val="true"/>
        <sz val="10"/>
        <rFont val="맑은 고딕"/>
        <family val="0"/>
        <charset val="1"/>
      </rPr>
      <t xml:space="preserve">32</t>
    </r>
    <r>
      <rPr>
        <b val="true"/>
        <sz val="10"/>
        <rFont val="WenQuanYi Zen Hei"/>
        <family val="2"/>
      </rPr>
      <t xml:space="preserve">점안 </t>
    </r>
    <r>
      <rPr>
        <b val="true"/>
        <sz val="10"/>
        <rFont val="맑은 고딕"/>
        <family val="0"/>
        <charset val="1"/>
      </rPr>
      <t xml:space="preserve">@ </t>
    </r>
    <r>
      <rPr>
        <b val="true"/>
        <sz val="10"/>
        <rFont val="WenQuanYi Zen Hei"/>
        <family val="2"/>
      </rPr>
      <t xml:space="preserve">제안가</t>
    </r>
  </si>
  <si>
    <r>
      <rPr>
        <sz val="10"/>
        <color rgb="FF595959"/>
        <rFont val="WenQuanYi Zen Hei"/>
        <family val="2"/>
      </rPr>
      <t xml:space="preserve">①의 </t>
    </r>
    <r>
      <rPr>
        <sz val="10"/>
        <color rgb="FF595959"/>
        <rFont val="맑은 고딕"/>
        <family val="0"/>
        <charset val="1"/>
      </rPr>
      <t xml:space="preserve">'32</t>
    </r>
    <r>
      <rPr>
        <sz val="10"/>
        <color rgb="FF595959"/>
        <rFont val="WenQuanYi Zen Hei"/>
        <family val="2"/>
      </rPr>
      <t xml:space="preserve">점안 제안가</t>
    </r>
    <r>
      <rPr>
        <sz val="10"/>
        <color rgb="FF595959"/>
        <rFont val="맑은 고딕"/>
        <family val="0"/>
        <charset val="1"/>
      </rPr>
      <t xml:space="preserve">'</t>
    </r>
  </si>
  <si>
    <r>
      <rPr>
        <b val="true"/>
        <sz val="10"/>
        <rFont val="맑은 고딕"/>
        <family val="0"/>
        <charset val="1"/>
      </rPr>
      <t xml:space="preserve">32</t>
    </r>
    <r>
      <rPr>
        <b val="true"/>
        <sz val="10"/>
        <rFont val="WenQuanYi Zen Hei"/>
        <family val="2"/>
      </rPr>
      <t xml:space="preserve">점안 </t>
    </r>
    <r>
      <rPr>
        <b val="true"/>
        <sz val="10"/>
        <rFont val="맑은 고딕"/>
        <family val="0"/>
        <charset val="1"/>
      </rPr>
      <t xml:space="preserve">@ </t>
    </r>
    <r>
      <rPr>
        <b val="true"/>
        <sz val="10"/>
        <rFont val="WenQuanYi Zen Hei"/>
        <family val="2"/>
      </rPr>
      <t xml:space="preserve">현재 제출가 유지</t>
    </r>
  </si>
  <si>
    <t xml:space="preserve">가격 그대로 두고 원가만 절감</t>
  </si>
  <si>
    <r>
      <rPr>
        <b val="true"/>
        <sz val="10"/>
        <rFont val="맑은 고딕"/>
        <family val="0"/>
        <charset val="1"/>
      </rPr>
      <t xml:space="preserve">32</t>
    </r>
    <r>
      <rPr>
        <b val="true"/>
        <sz val="10"/>
        <rFont val="WenQuanYi Zen Hei"/>
        <family val="2"/>
      </rPr>
      <t xml:space="preserve">점안 </t>
    </r>
    <r>
      <rPr>
        <b val="true"/>
        <sz val="10"/>
        <rFont val="맑은 고딕"/>
        <family val="0"/>
        <charset val="1"/>
      </rPr>
      <t xml:space="preserve">@ LS </t>
    </r>
    <r>
      <rPr>
        <b val="true"/>
        <sz val="10"/>
        <rFont val="WenQuanYi Zen Hei"/>
        <family val="2"/>
      </rPr>
      <t xml:space="preserve">가격</t>
    </r>
  </si>
  <si>
    <r>
      <rPr>
        <sz val="10"/>
        <color rgb="FF595959"/>
        <rFont val="맑은 고딕"/>
        <family val="0"/>
        <charset val="1"/>
      </rPr>
      <t xml:space="preserve">LS</t>
    </r>
    <r>
      <rPr>
        <sz val="10"/>
        <color rgb="FF595959"/>
        <rFont val="WenQuanYi Zen Hei"/>
        <family val="2"/>
      </rPr>
      <t xml:space="preserve">와 같은 가격으로 낼 때</t>
    </r>
  </si>
  <si>
    <r>
      <rPr>
        <b val="true"/>
        <sz val="10"/>
        <rFont val="맑은 고딕"/>
        <family val="0"/>
        <charset val="1"/>
      </rPr>
      <t xml:space="preserve">32</t>
    </r>
    <r>
      <rPr>
        <b val="true"/>
        <sz val="10"/>
        <rFont val="WenQuanYi Zen Hei"/>
        <family val="2"/>
      </rPr>
      <t xml:space="preserve">점안 매입가 절감액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대당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</si>
  <si>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＋면 </t>
    </r>
    <r>
      <rPr>
        <sz val="10"/>
        <color rgb="FF595959"/>
        <rFont val="맑은 고딕"/>
        <family val="0"/>
        <charset val="1"/>
      </rPr>
      <t xml:space="preserve">32</t>
    </r>
    <r>
      <rPr>
        <sz val="10"/>
        <color rgb="FF595959"/>
        <rFont val="WenQuanYi Zen Hei"/>
        <family val="2"/>
      </rPr>
      <t xml:space="preserve">점안이 쌈</t>
    </r>
  </si>
  <si>
    <r>
      <rPr>
        <b val="true"/>
        <sz val="10"/>
        <rFont val="맑은 고딕"/>
        <family val="0"/>
        <charset val="1"/>
      </rPr>
      <t xml:space="preserve">32</t>
    </r>
    <r>
      <rPr>
        <b val="true"/>
        <sz val="10"/>
        <rFont val="WenQuanYi Zen Hei"/>
        <family val="2"/>
      </rPr>
      <t xml:space="preserve">점안 매입가 절감액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연간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</si>
  <si>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32</t>
    </r>
    <r>
      <rPr>
        <b val="true"/>
        <sz val="10"/>
        <rFont val="WenQuanYi Zen Hei"/>
        <family val="2"/>
      </rPr>
      <t xml:space="preserve">점안 최저 견적가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최소 마진 확보</t>
    </r>
    <r>
      <rPr>
        <b val="true"/>
        <sz val="10"/>
        <rFont val="맑은 고딕"/>
        <family val="0"/>
        <charset val="1"/>
      </rPr>
      <t xml:space="preserve">)</t>
    </r>
  </si>
  <si>
    <t xml:space="preserve">이 가격 밑으로 내면 최소 마진 미달</t>
  </si>
  <si>
    <r>
      <rPr>
        <b val="true"/>
        <sz val="10"/>
        <rFont val="맑은 고딕"/>
        <family val="0"/>
        <charset val="1"/>
      </rPr>
      <t xml:space="preserve">LS </t>
    </r>
    <r>
      <rPr>
        <b val="true"/>
        <sz val="10"/>
        <rFont val="WenQuanYi Zen Hei"/>
        <family val="2"/>
      </rPr>
      <t xml:space="preserve">가격에서 최소 마진 맞추려면 매입가</t>
    </r>
  </si>
  <si>
    <r>
      <rPr>
        <sz val="10"/>
        <color rgb="FF595959"/>
        <rFont val="맑은 고딕"/>
        <family val="0"/>
        <charset val="1"/>
      </rPr>
      <t xml:space="preserve">32</t>
    </r>
    <r>
      <rPr>
        <sz val="10"/>
        <color rgb="FF595959"/>
        <rFont val="WenQuanYi Zen Hei"/>
        <family val="2"/>
      </rPr>
      <t xml:space="preserve">점안 매입가가 이 이하여야 </t>
    </r>
    <r>
      <rPr>
        <sz val="10"/>
        <color rgb="FF595959"/>
        <rFont val="맑은 고딕"/>
        <family val="0"/>
        <charset val="1"/>
      </rPr>
      <t xml:space="preserve">LS </t>
    </r>
    <r>
      <rPr>
        <sz val="10"/>
        <color rgb="FF595959"/>
        <rFont val="WenQuanYi Zen Hei"/>
        <family val="2"/>
      </rPr>
      <t xml:space="preserve">가격 대응 가능</t>
    </r>
  </si>
  <si>
    <r>
      <rPr>
        <b val="true"/>
        <sz val="10"/>
        <rFont val="맑은 고딕"/>
        <family val="0"/>
        <charset val="1"/>
      </rPr>
      <t xml:space="preserve">→ 32</t>
    </r>
    <r>
      <rPr>
        <b val="true"/>
        <sz val="10"/>
        <rFont val="WenQuanYi Zen Hei"/>
        <family val="2"/>
      </rPr>
      <t xml:space="preserve">점안 매입가와 차이</t>
    </r>
  </si>
  <si>
    <r>
      <rPr>
        <sz val="10"/>
        <color rgb="FF595959"/>
        <rFont val="WenQuanYi Zen Hei"/>
        <family val="2"/>
      </rPr>
      <t xml:space="preserve">＋면 그만큼 더 낮춰야 함 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슈나이더 추가 할인 필요</t>
    </r>
    <r>
      <rPr>
        <sz val="10"/>
        <color rgb="FF595959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</si>
  <si>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※ 32</t>
    </r>
    <r>
      <rPr>
        <sz val="9"/>
        <color rgb="FF595959"/>
        <rFont val="WenQuanYi Zen Hei"/>
        <family val="2"/>
      </rPr>
      <t xml:space="preserve">점 모듈은 </t>
    </r>
    <r>
      <rPr>
        <sz val="9"/>
        <color rgb="FF595959"/>
        <rFont val="맑은 고딕"/>
        <family val="0"/>
        <charset val="1"/>
      </rPr>
      <t xml:space="preserve">HE10 </t>
    </r>
    <r>
      <rPr>
        <sz val="9"/>
        <color rgb="FF595959"/>
        <rFont val="WenQuanYi Zen Hei"/>
        <family val="2"/>
      </rPr>
      <t xml:space="preserve">커넥터형이라 배선 방식이 바뀝니다</t>
    </r>
    <r>
      <rPr>
        <sz val="9"/>
        <color rgb="FF595959"/>
        <rFont val="맑은 고딕"/>
        <family val="0"/>
        <charset val="1"/>
      </rPr>
      <t xml:space="preserve">. Techross </t>
    </r>
    <r>
      <rPr>
        <sz val="9"/>
        <color rgb="FF595959"/>
        <rFont val="WenQuanYi Zen Hei"/>
        <family val="2"/>
      </rPr>
      <t xml:space="preserve">후보군</t>
    </r>
    <r>
      <rPr>
        <sz val="9"/>
        <color rgb="FF595959"/>
        <rFont val="맑은 고딕"/>
        <family val="0"/>
        <charset val="1"/>
      </rPr>
      <t xml:space="preserve">(5</t>
    </r>
    <r>
      <rPr>
        <sz val="9"/>
        <color rgb="FF595959"/>
        <rFont val="WenQuanYi Zen Hei"/>
        <family val="2"/>
      </rPr>
      <t xml:space="preserve">페이지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에 </t>
    </r>
    <r>
      <rPr>
        <sz val="9"/>
        <color rgb="FF595959"/>
        <rFont val="맑은 고딕"/>
        <family val="0"/>
        <charset val="1"/>
      </rPr>
      <t xml:space="preserve">Schneider</t>
    </r>
    <r>
      <rPr>
        <sz val="9"/>
        <color rgb="FF595959"/>
        <rFont val="WenQuanYi Zen Hei"/>
        <family val="2"/>
      </rPr>
      <t xml:space="preserve">는 </t>
    </r>
    <r>
      <rPr>
        <sz val="9"/>
        <color rgb="FF595959"/>
        <rFont val="맑은 고딕"/>
        <family val="0"/>
        <charset val="1"/>
      </rPr>
      <t xml:space="preserve">16</t>
    </r>
    <r>
      <rPr>
        <sz val="9"/>
        <color rgb="FF595959"/>
        <rFont val="WenQuanYi Zen Hei"/>
        <family val="2"/>
      </rPr>
      <t xml:space="preserve">점까지만 있으므로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적용하려면 </t>
    </r>
    <r>
      <rPr>
        <sz val="9"/>
        <color rgb="FF595959"/>
        <rFont val="맑은 고딕"/>
        <family val="0"/>
        <charset val="1"/>
      </rPr>
      <t xml:space="preserve">Techross </t>
    </r>
    <r>
      <rPr>
        <sz val="9"/>
        <color rgb="FF595959"/>
        <rFont val="WenQuanYi Zen Hei"/>
        <family val="2"/>
      </rPr>
      <t xml:space="preserve">연구소 승인이 필요합니다 </t>
    </r>
    <r>
      <rPr>
        <sz val="9"/>
        <color rgb="FF595959"/>
        <rFont val="맑은 고딕"/>
        <family val="0"/>
        <charset val="1"/>
      </rPr>
      <t xml:space="preserve">(LS</t>
    </r>
    <r>
      <rPr>
        <sz val="9"/>
        <color rgb="FF595959"/>
        <rFont val="WenQuanYi Zen Hei"/>
        <family val="2"/>
      </rPr>
      <t xml:space="preserve">는 </t>
    </r>
    <r>
      <rPr>
        <sz val="9"/>
        <color rgb="FF595959"/>
        <rFont val="맑은 고딕"/>
        <family val="0"/>
        <charset val="1"/>
      </rPr>
      <t xml:space="preserve">XBE-DC32A / TN32A 32</t>
    </r>
    <r>
      <rPr>
        <sz val="9"/>
        <color rgb="FF595959"/>
        <rFont val="WenQuanYi Zen Hei"/>
        <family val="2"/>
      </rPr>
      <t xml:space="preserve">점 허용</t>
    </r>
    <r>
      <rPr>
        <sz val="9"/>
        <color rgb="FF595959"/>
        <rFont val="맑은 고딕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</si>
</sst>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[RED]\-#,##0"/>
    <numFmt numFmtId="166" formatCode="#,##0\대"/>
    <numFmt numFmtId="167" formatCode="0.00"/>
    <numFmt numFmtId="168" formatCode="0%"/>
    <numFmt numFmtId="169" formatCode="#,##0"/>
    <numFmt numFmtId="170" formatCode="0.0%;[RED]\-0.0%"/>
    <numFmt numFmtId="171" formatCode="\+0.0%;[RED]\-0.0%;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맑은 고딕"/>
      <family val="0"/>
      <charset val="1"/>
    </font>
    <font>
      <b val="true"/>
      <sz val="15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맑은 고딕"/>
      <family val="0"/>
      <charset val="1"/>
    </font>
    <font>
      <b val="true"/>
      <sz val="11"/>
      <name val="WenQuanYi Zen Hei"/>
      <family val="2"/>
    </font>
    <font>
      <b val="true"/>
      <sz val="10"/>
      <name val="WenQuanYi Zen Hei"/>
      <family val="2"/>
    </font>
    <font>
      <b val="true"/>
      <sz val="10"/>
      <name val="맑은 고딕"/>
      <family val="0"/>
      <charset val="1"/>
    </font>
    <font>
      <b val="true"/>
      <sz val="10"/>
      <color rgb="FF0000FF"/>
      <name val="맑은 고딕"/>
      <family val="0"/>
      <charset val="1"/>
    </font>
    <font>
      <sz val="10"/>
      <color rgb="FFC00000"/>
      <name val="맑은 고딕"/>
      <family val="0"/>
      <charset val="1"/>
    </font>
    <font>
      <sz val="10"/>
      <color rgb="FFC00000"/>
      <name val="WenQuanYi Zen Hei"/>
      <family val="2"/>
    </font>
    <font>
      <b val="true"/>
      <sz val="11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WenQuanYi Zen Hei"/>
      <family val="2"/>
    </font>
    <font>
      <sz val="10"/>
      <name val="맑은 고딕"/>
      <family val="0"/>
      <charset val="1"/>
    </font>
    <font>
      <sz val="10"/>
      <name val="WenQuanYi Zen Hei"/>
      <family val="2"/>
    </font>
    <font>
      <b val="true"/>
      <sz val="10"/>
      <color rgb="FF000000"/>
      <name val="맑은 고딕"/>
      <family val="0"/>
      <charset val="1"/>
    </font>
    <font>
      <sz val="10"/>
      <color rgb="FF000000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9"/>
      <color rgb="FF595959"/>
      <name val="WenQuanYi Zen Hei"/>
      <family val="2"/>
    </font>
    <font>
      <sz val="9"/>
      <color rgb="FF595959"/>
      <name val="맑은 고딕"/>
      <family val="0"/>
      <charset val="1"/>
    </font>
    <font>
      <b val="true"/>
      <sz val="11"/>
      <color rgb="FFC00000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/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맑은 고딕"/>
        <charset val="1"/>
        <family val="0"/>
        <b val="1"/>
        <color rgb="FFC00000"/>
      </font>
      <fill>
        <patternFill>
          <bgColor rgb="FFFCE4E4"/>
        </patternFill>
      </fill>
    </dxf>
    <dxf>
      <font>
        <name val="맑은 고딕"/>
        <charset val="1"/>
        <family val="0"/>
        <b val="1"/>
        <color rgb="FFC00000"/>
      </font>
    </dxf>
    <dxf>
      <font>
        <name val="맑은 고딕"/>
        <charset val="1"/>
        <family val="0"/>
        <i val="1"/>
        <color rgb="FF7F7F7F"/>
      </font>
      <fill>
        <patternFill>
          <bgColor rgb="FFFCE4E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7" min="5" style="0" width="6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26"/>
  </cols>
  <sheetData>
    <row r="1" customFormat="false" ht="20.1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true" outlineLevel="0" collapsed="false">
      <c r="A5" s="4" t="s">
        <v>3</v>
      </c>
      <c r="B5" s="4"/>
      <c r="C5" s="4"/>
      <c r="D5" s="5" t="n">
        <v>1450000</v>
      </c>
      <c r="E5" s="5"/>
    </row>
    <row r="6" customFormat="false" ht="15" hidden="false" customHeight="true" outlineLevel="0" collapsed="false">
      <c r="A6" s="6" t="s">
        <v>4</v>
      </c>
      <c r="B6" s="6"/>
      <c r="C6" s="6"/>
      <c r="D6" s="5" t="n">
        <v>1170000</v>
      </c>
      <c r="E6" s="5"/>
    </row>
    <row r="7" customFormat="false" ht="15" hidden="false" customHeight="true" outlineLevel="0" collapsed="false">
      <c r="A7" s="6" t="s">
        <v>5</v>
      </c>
      <c r="B7" s="6"/>
      <c r="C7" s="6"/>
      <c r="D7" s="5" t="n">
        <v>1450000</v>
      </c>
      <c r="E7" s="5"/>
      <c r="F7" s="7" t="s">
        <v>6</v>
      </c>
      <c r="G7" s="7"/>
      <c r="H7" s="7"/>
      <c r="I7" s="7"/>
      <c r="J7" s="7"/>
      <c r="K7" s="7"/>
      <c r="L7" s="7"/>
      <c r="M7" s="7"/>
    </row>
    <row r="8" customFormat="false" ht="15" hidden="false" customHeight="true" outlineLevel="0" collapsed="false">
      <c r="A8" s="6" t="s">
        <v>7</v>
      </c>
      <c r="B8" s="6"/>
      <c r="C8" s="6"/>
      <c r="D8" s="8" t="n">
        <v>100</v>
      </c>
      <c r="E8" s="8"/>
    </row>
    <row r="9" customFormat="false" ht="15" hidden="false" customHeight="true" outlineLevel="0" collapsed="false">
      <c r="A9" s="4" t="s">
        <v>8</v>
      </c>
      <c r="B9" s="4"/>
      <c r="C9" s="4"/>
      <c r="D9" s="9" t="n">
        <v>0.35</v>
      </c>
      <c r="E9" s="9"/>
    </row>
    <row r="10" customFormat="false" ht="15" hidden="false" customHeight="true" outlineLevel="0" collapsed="false">
      <c r="A10" s="6" t="s">
        <v>9</v>
      </c>
      <c r="B10" s="6"/>
      <c r="C10" s="6"/>
      <c r="D10" s="9" t="n">
        <v>0.4</v>
      </c>
      <c r="E10" s="9"/>
    </row>
    <row r="11" customFormat="false" ht="15" hidden="false" customHeight="true" outlineLevel="0" collapsed="false">
      <c r="A11" s="4" t="s">
        <v>10</v>
      </c>
      <c r="B11" s="4"/>
      <c r="C11" s="4"/>
      <c r="D11" s="10" t="n">
        <v>0.15</v>
      </c>
      <c r="E11" s="10"/>
    </row>
    <row r="13" customFormat="false" ht="15" hidden="false" customHeight="true" outlineLevel="0" collapsed="false">
      <c r="A13" s="3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customFormat="false" ht="30" hidden="false" customHeight="true" outlineLevel="0" collapsed="false">
      <c r="A14" s="11" t="s">
        <v>12</v>
      </c>
      <c r="B14" s="12" t="s">
        <v>13</v>
      </c>
      <c r="C14" s="12" t="s">
        <v>14</v>
      </c>
      <c r="D14" s="12" t="s">
        <v>15</v>
      </c>
      <c r="E14" s="11" t="s">
        <v>16</v>
      </c>
      <c r="F14" s="11" t="s">
        <v>17</v>
      </c>
      <c r="G14" s="11" t="s">
        <v>18</v>
      </c>
      <c r="H14" s="12" t="s">
        <v>19</v>
      </c>
      <c r="I14" s="11" t="s">
        <v>20</v>
      </c>
      <c r="J14" s="12" t="s">
        <v>21</v>
      </c>
      <c r="K14" s="12" t="s">
        <v>22</v>
      </c>
      <c r="L14" s="12" t="s">
        <v>23</v>
      </c>
      <c r="M14" s="12" t="s">
        <v>24</v>
      </c>
    </row>
    <row r="15" customFormat="false" ht="15" hidden="false" customHeight="false" outlineLevel="0" collapsed="false">
      <c r="A15" s="13" t="n">
        <v>1</v>
      </c>
      <c r="B15" s="14" t="s">
        <v>25</v>
      </c>
      <c r="C15" s="15" t="s">
        <v>26</v>
      </c>
      <c r="D15" s="16" t="n">
        <v>1</v>
      </c>
      <c r="E15" s="17" t="n">
        <v>24</v>
      </c>
      <c r="F15" s="17" t="n">
        <v>16</v>
      </c>
      <c r="G15" s="17"/>
      <c r="H15" s="18" t="n">
        <v>920000</v>
      </c>
      <c r="I15" s="19" t="n">
        <f aca="false">$D$10</f>
        <v>0.4</v>
      </c>
      <c r="J15" s="20"/>
      <c r="K15" s="21" t="n">
        <f aca="false">IF(J15&lt;&gt;"",J15,IF(H15="",0,ROUND(H15*I15,0)))</f>
        <v>368000</v>
      </c>
      <c r="L15" s="22" t="n">
        <f aca="false">D15*K15</f>
        <v>368000</v>
      </c>
      <c r="M15" s="15"/>
    </row>
    <row r="16" customFormat="false" ht="15" hidden="false" customHeight="false" outlineLevel="0" collapsed="false">
      <c r="A16" s="13" t="n">
        <v>2</v>
      </c>
      <c r="B16" s="14" t="s">
        <v>27</v>
      </c>
      <c r="C16" s="23" t="s">
        <v>28</v>
      </c>
      <c r="D16" s="16" t="n">
        <v>5</v>
      </c>
      <c r="E16" s="17" t="n">
        <v>16</v>
      </c>
      <c r="F16" s="17"/>
      <c r="G16" s="17"/>
      <c r="H16" s="18" t="n">
        <v>228000</v>
      </c>
      <c r="I16" s="19" t="n">
        <f aca="false">$D$9</f>
        <v>0.35</v>
      </c>
      <c r="J16" s="20"/>
      <c r="K16" s="21" t="n">
        <f aca="false">IF(J16&lt;&gt;"",J16,IF(H16="",0,ROUND(H16*I16,0)))</f>
        <v>79800</v>
      </c>
      <c r="L16" s="22" t="n">
        <f aca="false">D16*K16</f>
        <v>399000</v>
      </c>
      <c r="M16" s="15"/>
    </row>
    <row r="17" customFormat="false" ht="15" hidden="false" customHeight="false" outlineLevel="0" collapsed="false">
      <c r="A17" s="13" t="n">
        <v>3</v>
      </c>
      <c r="B17" s="14" t="s">
        <v>29</v>
      </c>
      <c r="C17" s="23" t="s">
        <v>30</v>
      </c>
      <c r="D17" s="16" t="n">
        <v>2</v>
      </c>
      <c r="E17" s="17"/>
      <c r="F17" s="17" t="n">
        <v>16</v>
      </c>
      <c r="G17" s="17"/>
      <c r="H17" s="18" t="n">
        <v>227000</v>
      </c>
      <c r="I17" s="19" t="n">
        <f aca="false">$D$9</f>
        <v>0.35</v>
      </c>
      <c r="J17" s="20"/>
      <c r="K17" s="21" t="n">
        <f aca="false">IF(J17&lt;&gt;"",J17,IF(H17="",0,ROUND(H17*I17,0)))</f>
        <v>79450</v>
      </c>
      <c r="L17" s="22" t="n">
        <f aca="false">D17*K17</f>
        <v>158900</v>
      </c>
      <c r="M17" s="15"/>
    </row>
    <row r="18" customFormat="false" ht="15" hidden="false" customHeight="false" outlineLevel="0" collapsed="false">
      <c r="A18" s="13" t="n">
        <v>4</v>
      </c>
      <c r="B18" s="14" t="s">
        <v>31</v>
      </c>
      <c r="C18" s="23" t="s">
        <v>32</v>
      </c>
      <c r="D18" s="16" t="n">
        <v>1</v>
      </c>
      <c r="E18" s="17"/>
      <c r="F18" s="17" t="n">
        <v>8</v>
      </c>
      <c r="G18" s="17"/>
      <c r="H18" s="18" t="n">
        <v>168000</v>
      </c>
      <c r="I18" s="19" t="n">
        <f aca="false">$D$9</f>
        <v>0.35</v>
      </c>
      <c r="J18" s="20"/>
      <c r="K18" s="21" t="n">
        <f aca="false">IF(J18&lt;&gt;"",J18,IF(H18="",0,ROUND(H18*I18,0)))</f>
        <v>58800</v>
      </c>
      <c r="L18" s="22" t="n">
        <f aca="false">D18*K18</f>
        <v>58800</v>
      </c>
      <c r="M18" s="15"/>
    </row>
    <row r="19" customFormat="false" ht="15" hidden="false" customHeight="false" outlineLevel="0" collapsed="false">
      <c r="A19" s="13" t="n">
        <v>5</v>
      </c>
      <c r="B19" s="14" t="s">
        <v>33</v>
      </c>
      <c r="C19" s="23" t="s">
        <v>34</v>
      </c>
      <c r="D19" s="16" t="n">
        <v>1</v>
      </c>
      <c r="E19" s="17"/>
      <c r="F19" s="17"/>
      <c r="G19" s="17" t="n">
        <v>4</v>
      </c>
      <c r="H19" s="18" t="n">
        <v>351000</v>
      </c>
      <c r="I19" s="19" t="n">
        <f aca="false">$D$9</f>
        <v>0.35</v>
      </c>
      <c r="J19" s="20"/>
      <c r="K19" s="21" t="n">
        <f aca="false">IF(J19&lt;&gt;"",J19,IF(H19="",0,ROUND(H19*I19,0)))</f>
        <v>122850</v>
      </c>
      <c r="L19" s="22" t="n">
        <f aca="false">D19*K19</f>
        <v>122850</v>
      </c>
      <c r="M19" s="15"/>
    </row>
    <row r="20" customFormat="false" ht="15" hidden="false" customHeight="false" outlineLevel="0" collapsed="false">
      <c r="A20" s="13" t="n">
        <v>6</v>
      </c>
      <c r="B20" s="14" t="s">
        <v>35</v>
      </c>
      <c r="C20" s="15" t="s">
        <v>36</v>
      </c>
      <c r="D20" s="16" t="n">
        <v>1</v>
      </c>
      <c r="E20" s="17"/>
      <c r="F20" s="17"/>
      <c r="G20" s="17"/>
      <c r="H20" s="18" t="n">
        <v>156000</v>
      </c>
      <c r="I20" s="19" t="n">
        <f aca="false">$D$9</f>
        <v>0.35</v>
      </c>
      <c r="J20" s="20"/>
      <c r="K20" s="21" t="n">
        <f aca="false">IF(J20&lt;&gt;"",J20,IF(H20="",0,ROUND(H20*I20,0)))</f>
        <v>54600</v>
      </c>
      <c r="L20" s="22" t="n">
        <f aca="false">D20*K20</f>
        <v>54600</v>
      </c>
      <c r="M20" s="23" t="s">
        <v>37</v>
      </c>
    </row>
    <row r="21" customFormat="false" ht="15" hidden="false" customHeight="false" outlineLevel="0" collapsed="false">
      <c r="A21" s="13" t="n">
        <v>7</v>
      </c>
      <c r="B21" s="14" t="s">
        <v>38</v>
      </c>
      <c r="C21" s="15" t="s">
        <v>39</v>
      </c>
      <c r="D21" s="16" t="n">
        <v>1</v>
      </c>
      <c r="E21" s="17"/>
      <c r="F21" s="17"/>
      <c r="G21" s="17"/>
      <c r="H21" s="18" t="n">
        <v>185000</v>
      </c>
      <c r="I21" s="19" t="n">
        <f aca="false">$D$9</f>
        <v>0.35</v>
      </c>
      <c r="J21" s="20"/>
      <c r="K21" s="21" t="n">
        <f aca="false">IF(J21&lt;&gt;"",J21,IF(H21="",0,ROUND(H21*I21,0)))</f>
        <v>64750</v>
      </c>
      <c r="L21" s="22" t="n">
        <f aca="false">D21*K21</f>
        <v>64750</v>
      </c>
      <c r="M21" s="23" t="s">
        <v>37</v>
      </c>
    </row>
    <row r="22" customFormat="false" ht="15" hidden="false" customHeight="true" outlineLevel="0" collapsed="false">
      <c r="A22" s="24" t="s">
        <v>40</v>
      </c>
      <c r="B22" s="24"/>
      <c r="C22" s="24"/>
      <c r="D22" s="25"/>
      <c r="E22" s="26" t="n">
        <f aca="false">SUMPRODUCT($D$15:$D$21,E15:E21)</f>
        <v>104</v>
      </c>
      <c r="F22" s="26" t="n">
        <f aca="false">SUMPRODUCT($D$15:$D$21,F15:F21)</f>
        <v>56</v>
      </c>
      <c r="G22" s="26" t="n">
        <f aca="false">SUMPRODUCT($D$15:$D$21,G15:G21)</f>
        <v>4</v>
      </c>
      <c r="H22" s="25"/>
      <c r="I22" s="25"/>
      <c r="J22" s="25"/>
      <c r="K22" s="25"/>
      <c r="L22" s="27" t="n">
        <f aca="false">SUM(L15:L21)</f>
        <v>1226900</v>
      </c>
      <c r="M22" s="25"/>
    </row>
    <row r="24" customFormat="false" ht="15" hidden="false" customHeight="true" outlineLevel="0" collapsed="false">
      <c r="A24" s="28" t="s">
        <v>41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customFormat="false" ht="30" hidden="false" customHeight="true" outlineLevel="0" collapsed="false">
      <c r="A25" s="11" t="s">
        <v>12</v>
      </c>
      <c r="B25" s="12" t="s">
        <v>13</v>
      </c>
      <c r="C25" s="12" t="s">
        <v>14</v>
      </c>
      <c r="D25" s="12" t="s">
        <v>15</v>
      </c>
      <c r="E25" s="11" t="s">
        <v>16</v>
      </c>
      <c r="F25" s="11" t="s">
        <v>17</v>
      </c>
      <c r="G25" s="11" t="s">
        <v>18</v>
      </c>
      <c r="H25" s="12" t="s">
        <v>19</v>
      </c>
      <c r="I25" s="11" t="s">
        <v>20</v>
      </c>
      <c r="J25" s="12" t="s">
        <v>21</v>
      </c>
      <c r="K25" s="12" t="s">
        <v>22</v>
      </c>
      <c r="L25" s="12" t="s">
        <v>23</v>
      </c>
      <c r="M25" s="12" t="s">
        <v>24</v>
      </c>
    </row>
    <row r="26" customFormat="false" ht="15" hidden="false" customHeight="false" outlineLevel="0" collapsed="false">
      <c r="A26" s="13" t="n">
        <v>1</v>
      </c>
      <c r="B26" s="14" t="s">
        <v>25</v>
      </c>
      <c r="C26" s="15" t="s">
        <v>26</v>
      </c>
      <c r="D26" s="29" t="n">
        <v>1</v>
      </c>
      <c r="E26" s="17" t="n">
        <v>24</v>
      </c>
      <c r="F26" s="17" t="n">
        <v>16</v>
      </c>
      <c r="G26" s="17"/>
      <c r="H26" s="18" t="n">
        <v>920000</v>
      </c>
      <c r="I26" s="19" t="n">
        <f aca="false">$D$10</f>
        <v>0.4</v>
      </c>
      <c r="J26" s="30"/>
      <c r="K26" s="21" t="n">
        <f aca="false">IF(J26&lt;&gt;"",J26,IF(H26="",0,ROUND(H26*I26,0)))</f>
        <v>368000</v>
      </c>
      <c r="L26" s="22" t="n">
        <f aca="false">D26*K26</f>
        <v>368000</v>
      </c>
      <c r="M26" s="31" t="str">
        <f aca="false">IF(AND(D26&gt;0,H26="",J26=""),"▶ 단가 입력 필요","")</f>
        <v/>
      </c>
    </row>
    <row r="27" customFormat="false" ht="15" hidden="false" customHeight="false" outlineLevel="0" collapsed="false">
      <c r="A27" s="13" t="n">
        <v>2</v>
      </c>
      <c r="B27" s="14" t="s">
        <v>42</v>
      </c>
      <c r="C27" s="23" t="s">
        <v>43</v>
      </c>
      <c r="D27" s="29" t="n">
        <v>2</v>
      </c>
      <c r="E27" s="17" t="n">
        <v>32</v>
      </c>
      <c r="F27" s="17"/>
      <c r="G27" s="17"/>
      <c r="H27" s="30"/>
      <c r="I27" s="19" t="n">
        <f aca="false">$D$9</f>
        <v>0.35</v>
      </c>
      <c r="J27" s="30"/>
      <c r="K27" s="21" t="n">
        <f aca="false">IF(J27&lt;&gt;"",J27,IF(H27="",0,ROUND(H27*I27,0)))</f>
        <v>0</v>
      </c>
      <c r="L27" s="22" t="n">
        <f aca="false">D27*K27</f>
        <v>0</v>
      </c>
      <c r="M27" s="31" t="str">
        <f aca="false">IF(AND(D27&gt;0,H27="",J27=""),"▶ 단가 입력 필요","참고: TM3DI16 2개 리스트가 456,000")</f>
        <v>▶ 단가 입력 필요</v>
      </c>
    </row>
    <row r="28" customFormat="false" ht="15" hidden="false" customHeight="false" outlineLevel="0" collapsed="false">
      <c r="A28" s="13" t="n">
        <v>3</v>
      </c>
      <c r="B28" s="14" t="s">
        <v>44</v>
      </c>
      <c r="C28" s="23" t="s">
        <v>45</v>
      </c>
      <c r="D28" s="29" t="n">
        <v>1</v>
      </c>
      <c r="E28" s="17"/>
      <c r="F28" s="17" t="n">
        <v>32</v>
      </c>
      <c r="G28" s="17"/>
      <c r="H28" s="30"/>
      <c r="I28" s="19" t="n">
        <f aca="false">$D$9</f>
        <v>0.35</v>
      </c>
      <c r="J28" s="30"/>
      <c r="K28" s="21" t="n">
        <f aca="false">IF(J28&lt;&gt;"",J28,IF(H28="",0,ROUND(H28*I28,0)))</f>
        <v>0</v>
      </c>
      <c r="L28" s="22" t="n">
        <f aca="false">D28*K28</f>
        <v>0</v>
      </c>
      <c r="M28" s="31" t="str">
        <f aca="false">IF(AND(D28&gt;0,H28="",J28=""),"▶ 단가 입력 필요","참고: TM3DQ16T 2개 리스트가 454,000")</f>
        <v>▶ 단가 입력 필요</v>
      </c>
    </row>
    <row r="29" customFormat="false" ht="15" hidden="false" customHeight="false" outlineLevel="0" collapsed="false">
      <c r="A29" s="13" t="n">
        <v>4</v>
      </c>
      <c r="B29" s="14" t="s">
        <v>31</v>
      </c>
      <c r="C29" s="23" t="s">
        <v>32</v>
      </c>
      <c r="D29" s="29" t="n">
        <v>1</v>
      </c>
      <c r="E29" s="17"/>
      <c r="F29" s="17" t="n">
        <v>8</v>
      </c>
      <c r="G29" s="17"/>
      <c r="H29" s="18" t="n">
        <v>168000</v>
      </c>
      <c r="I29" s="19" t="n">
        <f aca="false">$D$9</f>
        <v>0.35</v>
      </c>
      <c r="J29" s="30"/>
      <c r="K29" s="21" t="n">
        <f aca="false">IF(J29&lt;&gt;"",J29,IF(H29="",0,ROUND(H29*I29,0)))</f>
        <v>58800</v>
      </c>
      <c r="L29" s="22" t="n">
        <f aca="false">D29*K29</f>
        <v>58800</v>
      </c>
      <c r="M29" s="31" t="str">
        <f aca="false">IF(AND(D29&gt;0,H29="",J29=""),"▶ 단가 입력 필요","")</f>
        <v/>
      </c>
    </row>
    <row r="30" customFormat="false" ht="15" hidden="false" customHeight="false" outlineLevel="0" collapsed="false">
      <c r="A30" s="13" t="n">
        <v>5</v>
      </c>
      <c r="B30" s="14" t="s">
        <v>29</v>
      </c>
      <c r="C30" s="23" t="s">
        <v>30</v>
      </c>
      <c r="D30" s="29" t="n">
        <v>0</v>
      </c>
      <c r="E30" s="17"/>
      <c r="F30" s="17" t="n">
        <v>16</v>
      </c>
      <c r="G30" s="17"/>
      <c r="H30" s="18" t="n">
        <v>227000</v>
      </c>
      <c r="I30" s="19" t="n">
        <f aca="false">$D$9</f>
        <v>0.35</v>
      </c>
      <c r="J30" s="30"/>
      <c r="K30" s="21" t="n">
        <f aca="false">IF(J30&lt;&gt;"",J30,IF(H30="",0,ROUND(H30*I30,0)))</f>
        <v>79450</v>
      </c>
      <c r="L30" s="22" t="n">
        <f aca="false">D30*K30</f>
        <v>0</v>
      </c>
      <c r="M30" s="31" t="str">
        <f aca="false">IF(AND(D30&gt;0,H30="",J30=""),"▶ 단가 입력 필요","필요 시 수량 입력")</f>
        <v>필요 시 수량 입력</v>
      </c>
    </row>
    <row r="31" customFormat="false" ht="15" hidden="false" customHeight="false" outlineLevel="0" collapsed="false">
      <c r="A31" s="13" t="n">
        <v>6</v>
      </c>
      <c r="B31" s="14" t="s">
        <v>27</v>
      </c>
      <c r="C31" s="23" t="s">
        <v>28</v>
      </c>
      <c r="D31" s="29" t="n">
        <v>1</v>
      </c>
      <c r="E31" s="17" t="n">
        <v>16</v>
      </c>
      <c r="F31" s="17"/>
      <c r="G31" s="17"/>
      <c r="H31" s="18" t="n">
        <v>228000</v>
      </c>
      <c r="I31" s="19" t="n">
        <f aca="false">$D$9</f>
        <v>0.35</v>
      </c>
      <c r="J31" s="30"/>
      <c r="K31" s="21" t="n">
        <f aca="false">IF(J31&lt;&gt;"",J31,IF(H31="",0,ROUND(H31*I31,0)))</f>
        <v>79800</v>
      </c>
      <c r="L31" s="22" t="n">
        <f aca="false">D31*K31</f>
        <v>79800</v>
      </c>
      <c r="M31" s="31" t="str">
        <f aca="false">IF(AND(D31&gt;0,H31="",J31=""),"▶ 단가 입력 필요","")</f>
        <v/>
      </c>
    </row>
    <row r="32" customFormat="false" ht="15" hidden="false" customHeight="false" outlineLevel="0" collapsed="false">
      <c r="A32" s="13" t="n">
        <v>7</v>
      </c>
      <c r="B32" s="14" t="s">
        <v>33</v>
      </c>
      <c r="C32" s="23" t="s">
        <v>34</v>
      </c>
      <c r="D32" s="29" t="n">
        <v>1</v>
      </c>
      <c r="E32" s="17"/>
      <c r="F32" s="17"/>
      <c r="G32" s="17" t="n">
        <v>4</v>
      </c>
      <c r="H32" s="18" t="n">
        <v>351000</v>
      </c>
      <c r="I32" s="19" t="n">
        <f aca="false">$D$9</f>
        <v>0.35</v>
      </c>
      <c r="J32" s="30"/>
      <c r="K32" s="21" t="n">
        <f aca="false">IF(J32&lt;&gt;"",J32,IF(H32="",0,ROUND(H32*I32,0)))</f>
        <v>122850</v>
      </c>
      <c r="L32" s="22" t="n">
        <f aca="false">D32*K32</f>
        <v>122850</v>
      </c>
      <c r="M32" s="31" t="str">
        <f aca="false">IF(AND(D32&gt;0,H32="",J32=""),"▶ 단가 입력 필요","")</f>
        <v/>
      </c>
    </row>
    <row r="33" customFormat="false" ht="15" hidden="false" customHeight="false" outlineLevel="0" collapsed="false">
      <c r="A33" s="13" t="n">
        <v>8</v>
      </c>
      <c r="B33" s="14" t="s">
        <v>35</v>
      </c>
      <c r="C33" s="15" t="s">
        <v>36</v>
      </c>
      <c r="D33" s="29" t="n">
        <v>0</v>
      </c>
      <c r="E33" s="17"/>
      <c r="F33" s="17"/>
      <c r="G33" s="17"/>
      <c r="H33" s="18" t="n">
        <v>156000</v>
      </c>
      <c r="I33" s="19" t="n">
        <f aca="false">$D$9</f>
        <v>0.35</v>
      </c>
      <c r="J33" s="30"/>
      <c r="K33" s="21" t="n">
        <f aca="false">IF(J33&lt;&gt;"",J33,IF(H33="",0,ROUND(H33*I33,0)))</f>
        <v>54600</v>
      </c>
      <c r="L33" s="22" t="n">
        <f aca="false">D33*K33</f>
        <v>0</v>
      </c>
      <c r="M33" s="31" t="str">
        <f aca="false">IF(AND(D33&gt;0,H33="",J33=""),"▶ 단가 입력 필요","모듈 7개 이하면 0")</f>
        <v>모듈 7개 이하면 0</v>
      </c>
    </row>
    <row r="34" customFormat="false" ht="15" hidden="false" customHeight="false" outlineLevel="0" collapsed="false">
      <c r="A34" s="13" t="n">
        <v>9</v>
      </c>
      <c r="B34" s="14" t="s">
        <v>38</v>
      </c>
      <c r="C34" s="15" t="s">
        <v>39</v>
      </c>
      <c r="D34" s="29" t="n">
        <v>0</v>
      </c>
      <c r="E34" s="17"/>
      <c r="F34" s="17"/>
      <c r="G34" s="17"/>
      <c r="H34" s="18" t="n">
        <v>185000</v>
      </c>
      <c r="I34" s="19" t="n">
        <f aca="false">$D$9</f>
        <v>0.35</v>
      </c>
      <c r="J34" s="30"/>
      <c r="K34" s="21" t="n">
        <f aca="false">IF(J34&lt;&gt;"",J34,IF(H34="",0,ROUND(H34*I34,0)))</f>
        <v>64750</v>
      </c>
      <c r="L34" s="22" t="n">
        <f aca="false">D34*K34</f>
        <v>0</v>
      </c>
      <c r="M34" s="31" t="str">
        <f aca="false">IF(AND(D34&gt;0,H34="",J34=""),"▶ 단가 입력 필요","모듈 7개 이하면 0")</f>
        <v>모듈 7개 이하면 0</v>
      </c>
    </row>
    <row r="35" customFormat="false" ht="26.85" hidden="false" customHeight="false" outlineLevel="0" collapsed="false">
      <c r="A35" s="13" t="n">
        <v>10</v>
      </c>
      <c r="B35" s="14" t="s">
        <v>46</v>
      </c>
      <c r="C35" s="15" t="s">
        <v>47</v>
      </c>
      <c r="D35" s="32" t="n">
        <f aca="false">2*(D27+D28)</f>
        <v>6</v>
      </c>
      <c r="E35" s="17"/>
      <c r="F35" s="17"/>
      <c r="G35" s="17"/>
      <c r="H35" s="33"/>
      <c r="I35" s="13" t="s">
        <v>48</v>
      </c>
      <c r="J35" s="30"/>
      <c r="K35" s="21" t="n">
        <f aca="false">IF(J35&lt;&gt;"",J35,IF(H35="",0,H35))</f>
        <v>0</v>
      </c>
      <c r="L35" s="22" t="n">
        <f aca="false">D35*K35</f>
        <v>0</v>
      </c>
      <c r="M35" s="31" t="str">
        <f aca="false">IF(AND(D35&gt;0,H35="",J35=""),"▶ 단가 입력 필요 (1개당 2개)","32점 모듈 1개당 2개 (자동)")</f>
        <v>▶ 단가 입력 필요 (1개당 2개)</v>
      </c>
    </row>
    <row r="36" customFormat="false" ht="26.85" hidden="false" customHeight="false" outlineLevel="0" collapsed="false">
      <c r="A36" s="13" t="n">
        <v>11</v>
      </c>
      <c r="B36" s="34" t="s">
        <v>49</v>
      </c>
      <c r="C36" s="15" t="s">
        <v>50</v>
      </c>
      <c r="D36" s="29" t="n">
        <v>0</v>
      </c>
      <c r="E36" s="17"/>
      <c r="F36" s="17"/>
      <c r="G36" s="17"/>
      <c r="H36" s="33"/>
      <c r="I36" s="13" t="s">
        <v>48</v>
      </c>
      <c r="J36" s="30"/>
      <c r="K36" s="21" t="n">
        <f aca="false">IF(J36&lt;&gt;"",J36,IF(H36="",0,H36))</f>
        <v>0</v>
      </c>
      <c r="L36" s="22" t="n">
        <f aca="false">D36*K36</f>
        <v>0</v>
      </c>
      <c r="M36" s="31" t="str">
        <f aca="false">IF(AND(D36&gt;0,H36="",J36=""),"▶ 단가 입력 필요","쓸 경우 수량 입력")</f>
        <v>쓸 경우 수량 입력</v>
      </c>
    </row>
    <row r="37" customFormat="false" ht="15" hidden="false" customHeight="true" outlineLevel="0" collapsed="false">
      <c r="A37" s="24" t="s">
        <v>40</v>
      </c>
      <c r="B37" s="24"/>
      <c r="C37" s="24"/>
      <c r="D37" s="25"/>
      <c r="E37" s="26" t="n">
        <f aca="false">SUMPRODUCT($D$26:$D$36,E26:E36)</f>
        <v>104</v>
      </c>
      <c r="F37" s="26" t="n">
        <f aca="false">SUMPRODUCT($D$26:$D$36,F26:F36)</f>
        <v>56</v>
      </c>
      <c r="G37" s="26" t="n">
        <f aca="false">SUMPRODUCT($D$26:$D$36,G26:G36)</f>
        <v>4</v>
      </c>
      <c r="H37" s="25"/>
      <c r="I37" s="25"/>
      <c r="J37" s="25"/>
      <c r="K37" s="25"/>
      <c r="L37" s="27" t="n">
        <f aca="false">SUM(L26:L36)</f>
        <v>629450</v>
      </c>
      <c r="M37" s="25"/>
    </row>
    <row r="38" customFormat="false" ht="15" hidden="false" customHeight="true" outlineLevel="0" collapsed="false">
      <c r="A38" s="35" t="s">
        <v>51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40" customFormat="false" ht="15" hidden="false" customHeight="true" outlineLevel="0" collapsed="false">
      <c r="A40" s="3" t="s">
        <v>52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customFormat="false" ht="15" hidden="false" customHeight="true" outlineLevel="0" collapsed="false">
      <c r="A41" s="36" t="s">
        <v>53</v>
      </c>
      <c r="B41" s="36"/>
      <c r="C41" s="36"/>
      <c r="D41" s="11" t="s">
        <v>54</v>
      </c>
      <c r="E41" s="12" t="s">
        <v>55</v>
      </c>
      <c r="F41" s="12"/>
      <c r="G41" s="12" t="s">
        <v>56</v>
      </c>
      <c r="H41" s="12"/>
      <c r="I41" s="12"/>
      <c r="J41" s="12"/>
      <c r="K41" s="12"/>
      <c r="L41" s="12"/>
      <c r="M41" s="12"/>
    </row>
    <row r="42" customFormat="false" ht="15" hidden="false" customHeight="true" outlineLevel="0" collapsed="false">
      <c r="A42" s="6" t="s">
        <v>57</v>
      </c>
      <c r="B42" s="6"/>
      <c r="C42" s="6"/>
      <c r="D42" s="37" t="n">
        <f aca="false">E37</f>
        <v>104</v>
      </c>
      <c r="E42" s="13" t="s">
        <v>58</v>
      </c>
      <c r="F42" s="13"/>
      <c r="G42" s="34" t="str">
        <f aca="false">IF(E37&gt;=102,"충족","부족")</f>
        <v>충족</v>
      </c>
      <c r="H42" s="34"/>
      <c r="I42" s="34"/>
      <c r="J42" s="34"/>
      <c r="K42" s="34"/>
      <c r="L42" s="34"/>
      <c r="M42" s="34"/>
    </row>
    <row r="43" customFormat="false" ht="15" hidden="false" customHeight="true" outlineLevel="0" collapsed="false">
      <c r="A43" s="6" t="s">
        <v>59</v>
      </c>
      <c r="B43" s="6"/>
      <c r="C43" s="6"/>
      <c r="D43" s="37" t="n">
        <f aca="false">F37</f>
        <v>56</v>
      </c>
      <c r="E43" s="13" t="s">
        <v>60</v>
      </c>
      <c r="F43" s="13"/>
      <c r="G43" s="34" t="str">
        <f aca="false">IF(F37&gt;=54,"충족","부족")</f>
        <v>충족</v>
      </c>
      <c r="H43" s="34"/>
      <c r="I43" s="34"/>
      <c r="J43" s="34"/>
      <c r="K43" s="34"/>
      <c r="L43" s="34"/>
      <c r="M43" s="34"/>
    </row>
    <row r="44" customFormat="false" ht="15" hidden="false" customHeight="true" outlineLevel="0" collapsed="false">
      <c r="A44" s="6" t="s">
        <v>61</v>
      </c>
      <c r="B44" s="6"/>
      <c r="C44" s="6"/>
      <c r="D44" s="37" t="n">
        <f aca="false">G37</f>
        <v>4</v>
      </c>
      <c r="E44" s="13" t="s">
        <v>62</v>
      </c>
      <c r="F44" s="13"/>
      <c r="G44" s="34" t="str">
        <f aca="false">IF(G37&gt;=4,"충족","부족")</f>
        <v>충족</v>
      </c>
      <c r="H44" s="34"/>
      <c r="I44" s="34"/>
      <c r="J44" s="34"/>
      <c r="K44" s="34"/>
      <c r="L44" s="34"/>
      <c r="M44" s="34"/>
    </row>
    <row r="45" customFormat="false" ht="15" hidden="false" customHeight="true" outlineLevel="0" collapsed="false">
      <c r="A45" s="6" t="s">
        <v>63</v>
      </c>
      <c r="B45" s="6"/>
      <c r="C45" s="6"/>
      <c r="D45" s="37" t="n">
        <f aca="false">SUM(D27:D32)</f>
        <v>6</v>
      </c>
      <c r="E45" s="13" t="s">
        <v>64</v>
      </c>
      <c r="F45" s="13"/>
      <c r="G45" s="34" t="str">
        <f aca="false">IF(SUM(D27:D32)&lt;=7,IF(D33+D34=0,"7개 이하 — 버스 확장 없이 구성 가능 (OK)","7개 이하 — XTRA1/XREC1 수량 0으로"),IF(D33+D34=2,"7개 초과 — 버스 확장 포함됨","7개 초과 — XTRA1/XREC1 각 1 필요"))</f>
        <v>7개 이하 — 버스 확장 없이 구성 가능 (OK)</v>
      </c>
      <c r="H45" s="34"/>
      <c r="I45" s="34"/>
      <c r="J45" s="34"/>
      <c r="K45" s="34"/>
      <c r="L45" s="34"/>
      <c r="M45" s="34"/>
    </row>
    <row r="46" customFormat="false" ht="15" hidden="false" customHeight="true" outlineLevel="0" collapsed="false">
      <c r="A46" s="4" t="s">
        <v>65</v>
      </c>
      <c r="B46" s="4"/>
      <c r="C46" s="4"/>
      <c r="D46" s="37" t="n">
        <f aca="false">SUMPRODUCT((D26:D36&gt;0)*(H26:H36="")*(J26:J36=""))</f>
        <v>3</v>
      </c>
      <c r="E46" s="13" t="s">
        <v>66</v>
      </c>
      <c r="F46" s="13"/>
      <c r="G46" s="34" t="str">
        <f aca="false">IF(D46=0,"입력 완료","단가를 넣어야 정확한 비교가 됩니다")</f>
        <v>단가를 넣어야 정확한 비교가 됩니다</v>
      </c>
      <c r="H46" s="34"/>
      <c r="I46" s="34"/>
      <c r="J46" s="34"/>
      <c r="K46" s="34"/>
      <c r="L46" s="34"/>
      <c r="M46" s="34"/>
    </row>
    <row r="48" customFormat="false" ht="15" hidden="false" customHeight="true" outlineLevel="0" collapsed="false">
      <c r="A48" s="3" t="s">
        <v>67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customFormat="false" ht="15" hidden="false" customHeight="true" outlineLevel="0" collapsed="false">
      <c r="A49" s="12" t="s">
        <v>68</v>
      </c>
      <c r="B49" s="12"/>
      <c r="C49" s="12"/>
      <c r="D49" s="12" t="s">
        <v>69</v>
      </c>
      <c r="E49" s="12"/>
      <c r="F49" s="12" t="s">
        <v>70</v>
      </c>
      <c r="G49" s="12"/>
      <c r="H49" s="11" t="s">
        <v>71</v>
      </c>
      <c r="I49" s="11"/>
      <c r="J49" s="12" t="s">
        <v>72</v>
      </c>
      <c r="K49" s="12" t="s">
        <v>73</v>
      </c>
      <c r="L49" s="11" t="s">
        <v>74</v>
      </c>
      <c r="M49" s="12" t="s">
        <v>24</v>
      </c>
    </row>
    <row r="50" customFormat="false" ht="15" hidden="false" customHeight="true" outlineLevel="0" collapsed="false">
      <c r="A50" s="4" t="s">
        <v>75</v>
      </c>
      <c r="B50" s="4"/>
      <c r="C50" s="4"/>
      <c r="D50" s="21" t="n">
        <f aca="false">$L$22</f>
        <v>1226900</v>
      </c>
      <c r="E50" s="21"/>
      <c r="F50" s="21" t="n">
        <f aca="false">$D$5</f>
        <v>1450000</v>
      </c>
      <c r="G50" s="21"/>
      <c r="H50" s="22" t="n">
        <f aca="false">F50-D50</f>
        <v>223100</v>
      </c>
      <c r="I50" s="22"/>
      <c r="J50" s="38" t="n">
        <f aca="false">IF(F50=0,"",H50/F50)</f>
        <v>0.153862068965517</v>
      </c>
      <c r="K50" s="21" t="n">
        <f aca="false">H50*$D$8</f>
        <v>22310000</v>
      </c>
      <c r="L50" s="39" t="n">
        <f aca="false">IF($D$6=0,"",F50/$D$6-1)</f>
        <v>0.239316239316239</v>
      </c>
      <c r="M50" s="40" t="s">
        <v>76</v>
      </c>
    </row>
    <row r="51" customFormat="false" ht="15" hidden="false" customHeight="true" outlineLevel="0" collapsed="false">
      <c r="A51" s="41" t="s">
        <v>77</v>
      </c>
      <c r="B51" s="41"/>
      <c r="C51" s="41"/>
      <c r="D51" s="21" t="n">
        <f aca="false">$L$37</f>
        <v>629450</v>
      </c>
      <c r="E51" s="21"/>
      <c r="F51" s="21" t="n">
        <f aca="false">$D$7</f>
        <v>1450000</v>
      </c>
      <c r="G51" s="21"/>
      <c r="H51" s="22" t="n">
        <f aca="false">F51-D51</f>
        <v>820550</v>
      </c>
      <c r="I51" s="22"/>
      <c r="J51" s="38" t="n">
        <f aca="false">IF(F51=0,"",H51/F51)</f>
        <v>0.565896551724138</v>
      </c>
      <c r="K51" s="21" t="n">
        <f aca="false">H51*$D$8</f>
        <v>82055000</v>
      </c>
      <c r="L51" s="39" t="n">
        <f aca="false">IF($D$6=0,"",F51/$D$6-1)</f>
        <v>0.239316239316239</v>
      </c>
      <c r="M51" s="40" t="s">
        <v>78</v>
      </c>
    </row>
    <row r="52" customFormat="false" ht="15" hidden="false" customHeight="true" outlineLevel="0" collapsed="false">
      <c r="A52" s="41" t="s">
        <v>79</v>
      </c>
      <c r="B52" s="41"/>
      <c r="C52" s="41"/>
      <c r="D52" s="21" t="n">
        <f aca="false">$L$37</f>
        <v>629450</v>
      </c>
      <c r="E52" s="21"/>
      <c r="F52" s="21" t="n">
        <f aca="false">$D$5</f>
        <v>1450000</v>
      </c>
      <c r="G52" s="21"/>
      <c r="H52" s="22" t="n">
        <f aca="false">F52-D52</f>
        <v>820550</v>
      </c>
      <c r="I52" s="22"/>
      <c r="J52" s="38" t="n">
        <f aca="false">IF(F52=0,"",H52/F52)</f>
        <v>0.565896551724138</v>
      </c>
      <c r="K52" s="21" t="n">
        <f aca="false">H52*$D$8</f>
        <v>82055000</v>
      </c>
      <c r="L52" s="39" t="n">
        <f aca="false">IF($D$6=0,"",F52/$D$6-1)</f>
        <v>0.239316239316239</v>
      </c>
      <c r="M52" s="40" t="s">
        <v>80</v>
      </c>
    </row>
    <row r="53" customFormat="false" ht="15" hidden="false" customHeight="true" outlineLevel="0" collapsed="false">
      <c r="A53" s="41" t="s">
        <v>81</v>
      </c>
      <c r="B53" s="41"/>
      <c r="C53" s="41"/>
      <c r="D53" s="21" t="n">
        <f aca="false">$L$37</f>
        <v>629450</v>
      </c>
      <c r="E53" s="21"/>
      <c r="F53" s="21" t="n">
        <f aca="false">$D$6</f>
        <v>1170000</v>
      </c>
      <c r="G53" s="21"/>
      <c r="H53" s="22" t="n">
        <f aca="false">F53-D53</f>
        <v>540550</v>
      </c>
      <c r="I53" s="22"/>
      <c r="J53" s="38" t="n">
        <f aca="false">IF(F53=0,"",H53/F53)</f>
        <v>0.462008547008547</v>
      </c>
      <c r="K53" s="21" t="n">
        <f aca="false">H53*$D$8</f>
        <v>54055000</v>
      </c>
      <c r="L53" s="39" t="n">
        <f aca="false">IF($D$6=0,"",F53/$D$6-1)</f>
        <v>0</v>
      </c>
      <c r="M53" s="42" t="s">
        <v>82</v>
      </c>
    </row>
    <row r="55" customFormat="false" ht="15" hidden="false" customHeight="true" outlineLevel="0" collapsed="false">
      <c r="A55" s="6" t="s">
        <v>83</v>
      </c>
      <c r="B55" s="6"/>
      <c r="C55" s="6"/>
      <c r="D55" s="27" t="n">
        <f aca="false">$L$22-$L$37</f>
        <v>597450</v>
      </c>
      <c r="E55" s="27"/>
      <c r="F55" s="27"/>
      <c r="G55" s="27"/>
      <c r="H55" s="40" t="s">
        <v>84</v>
      </c>
      <c r="I55" s="40"/>
      <c r="J55" s="40"/>
      <c r="K55" s="40"/>
      <c r="L55" s="40"/>
      <c r="M55" s="40"/>
    </row>
    <row r="56" customFormat="false" ht="15" hidden="false" customHeight="true" outlineLevel="0" collapsed="false">
      <c r="A56" s="6" t="s">
        <v>85</v>
      </c>
      <c r="B56" s="6"/>
      <c r="C56" s="6"/>
      <c r="D56" s="27" t="n">
        <f aca="false">D55*$D$8</f>
        <v>59745000</v>
      </c>
      <c r="E56" s="27"/>
      <c r="F56" s="27"/>
      <c r="G56" s="27"/>
      <c r="H56" s="40"/>
      <c r="I56" s="40"/>
      <c r="J56" s="40"/>
      <c r="K56" s="40"/>
      <c r="L56" s="40"/>
      <c r="M56" s="40"/>
    </row>
    <row r="57" customFormat="false" ht="15" hidden="false" customHeight="true" outlineLevel="0" collapsed="false">
      <c r="A57" s="6" t="s">
        <v>86</v>
      </c>
      <c r="B57" s="6"/>
      <c r="C57" s="6"/>
      <c r="D57" s="27" t="n">
        <f aca="false">ROUNDUP($L$37/(1-$D$11),-3)</f>
        <v>741000</v>
      </c>
      <c r="E57" s="27"/>
      <c r="F57" s="27"/>
      <c r="G57" s="27"/>
      <c r="H57" s="40" t="s">
        <v>87</v>
      </c>
      <c r="I57" s="40"/>
      <c r="J57" s="40"/>
      <c r="K57" s="40"/>
      <c r="L57" s="40"/>
      <c r="M57" s="40"/>
    </row>
    <row r="58" customFormat="false" ht="15" hidden="false" customHeight="true" outlineLevel="0" collapsed="false">
      <c r="A58" s="6" t="s">
        <v>88</v>
      </c>
      <c r="B58" s="6"/>
      <c r="C58" s="6"/>
      <c r="D58" s="27" t="n">
        <f aca="false">ROUNDDOWN($D$6*(1-$D$11),0)</f>
        <v>994500</v>
      </c>
      <c r="E58" s="27"/>
      <c r="F58" s="27"/>
      <c r="G58" s="27"/>
      <c r="H58" s="42" t="s">
        <v>89</v>
      </c>
      <c r="I58" s="42"/>
      <c r="J58" s="42"/>
      <c r="K58" s="42"/>
      <c r="L58" s="42"/>
      <c r="M58" s="42"/>
    </row>
    <row r="59" customFormat="false" ht="15" hidden="false" customHeight="true" outlineLevel="0" collapsed="false">
      <c r="A59" s="6" t="s">
        <v>90</v>
      </c>
      <c r="B59" s="6"/>
      <c r="C59" s="6"/>
      <c r="D59" s="27" t="n">
        <f aca="false">$L$37-D58</f>
        <v>-365050</v>
      </c>
      <c r="E59" s="27"/>
      <c r="F59" s="27"/>
      <c r="G59" s="27"/>
      <c r="H59" s="40" t="s">
        <v>91</v>
      </c>
      <c r="I59" s="40"/>
      <c r="J59" s="40"/>
      <c r="K59" s="40"/>
      <c r="L59" s="40"/>
      <c r="M59" s="40"/>
    </row>
    <row r="61" customFormat="false" ht="21.75" hidden="false" customHeight="true" outlineLevel="0" collapsed="false">
      <c r="A61" s="43" t="str">
        <f aca="false">IF(D46&gt;0,"⚠ 단가 미입력 "&amp;D46&amp;"개 — 위 32점안 매입가는 해당 품목이 0원으로 계산된 값입니다. 단가를 넣으면 자동 갱신됩니다.","✔ 모든 단가 입력 완료 — 비교 결과 확정")</f>
        <v>⚠ 단가 미입력 3개 — 위 32점안 매입가는 해당 품목이 0원으로 계산된 값입니다. 단가를 넣으면 자동 갱신됩니다.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customFormat="false" ht="27.75" hidden="false" customHeight="true" outlineLevel="0" collapsed="false">
      <c r="A62" s="44" t="s">
        <v>92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</sheetData>
  <mergeCells count="80">
    <mergeCell ref="A1:M1"/>
    <mergeCell ref="A2:M2"/>
    <mergeCell ref="A4:M4"/>
    <mergeCell ref="A5:C5"/>
    <mergeCell ref="D5:E5"/>
    <mergeCell ref="A6:C6"/>
    <mergeCell ref="D6:E6"/>
    <mergeCell ref="A7:C7"/>
    <mergeCell ref="D7:E7"/>
    <mergeCell ref="F7:M7"/>
    <mergeCell ref="A8:C8"/>
    <mergeCell ref="D8:E8"/>
    <mergeCell ref="A9:C9"/>
    <mergeCell ref="D9:E9"/>
    <mergeCell ref="A10:C10"/>
    <mergeCell ref="D10:E10"/>
    <mergeCell ref="A11:C11"/>
    <mergeCell ref="D11:E11"/>
    <mergeCell ref="A13:M13"/>
    <mergeCell ref="A22:C22"/>
    <mergeCell ref="A24:M24"/>
    <mergeCell ref="A37:C37"/>
    <mergeCell ref="A38:M38"/>
    <mergeCell ref="A40:M40"/>
    <mergeCell ref="A41:C41"/>
    <mergeCell ref="E41:F41"/>
    <mergeCell ref="G41:M41"/>
    <mergeCell ref="A42:C42"/>
    <mergeCell ref="E42:F42"/>
    <mergeCell ref="G42:M42"/>
    <mergeCell ref="A43:C43"/>
    <mergeCell ref="E43:F43"/>
    <mergeCell ref="G43:M43"/>
    <mergeCell ref="A44:C44"/>
    <mergeCell ref="E44:F44"/>
    <mergeCell ref="G44:M44"/>
    <mergeCell ref="A45:C45"/>
    <mergeCell ref="E45:F45"/>
    <mergeCell ref="G45:M45"/>
    <mergeCell ref="A46:C46"/>
    <mergeCell ref="E46:F46"/>
    <mergeCell ref="G46:M46"/>
    <mergeCell ref="A48:M48"/>
    <mergeCell ref="A49:C49"/>
    <mergeCell ref="D49:E49"/>
    <mergeCell ref="F49:G49"/>
    <mergeCell ref="H49:I49"/>
    <mergeCell ref="A50:C50"/>
    <mergeCell ref="D50:E50"/>
    <mergeCell ref="F50:G50"/>
    <mergeCell ref="H50:I50"/>
    <mergeCell ref="A51:C51"/>
    <mergeCell ref="D51:E51"/>
    <mergeCell ref="F51:G51"/>
    <mergeCell ref="H51:I51"/>
    <mergeCell ref="A52:C52"/>
    <mergeCell ref="D52:E52"/>
    <mergeCell ref="F52:G52"/>
    <mergeCell ref="H52:I52"/>
    <mergeCell ref="A53:C53"/>
    <mergeCell ref="D53:E53"/>
    <mergeCell ref="F53:G53"/>
    <mergeCell ref="H53:I53"/>
    <mergeCell ref="A55:C55"/>
    <mergeCell ref="D55:G55"/>
    <mergeCell ref="H55:M55"/>
    <mergeCell ref="A56:C56"/>
    <mergeCell ref="D56:G56"/>
    <mergeCell ref="H56:M56"/>
    <mergeCell ref="A57:C57"/>
    <mergeCell ref="D57:G57"/>
    <mergeCell ref="H57:M57"/>
    <mergeCell ref="A58:C58"/>
    <mergeCell ref="D58:G58"/>
    <mergeCell ref="H58:M58"/>
    <mergeCell ref="A59:C59"/>
    <mergeCell ref="D59:G59"/>
    <mergeCell ref="H59:M59"/>
    <mergeCell ref="A61:M61"/>
    <mergeCell ref="A62:M62"/>
  </mergeCells>
  <conditionalFormatting sqref="G42:G46">
    <cfRule type="expression" priority="2" aboveAverage="0" equalAverage="0" bottom="0" percent="0" rank="0" text="" dxfId="0">
      <formula>OR(ISNUMBER(SEARCH("부족",G42)),ISNUMBER(SEARCH("필요",G42)),ISNUMBER(SEARCH("넣어야",G42)),ISNUMBER(SEARCH("수량 0",G42)))</formula>
    </cfRule>
  </conditionalFormatting>
  <conditionalFormatting sqref="M26:M36">
    <cfRule type="expression" priority="3" aboveAverage="0" equalAverage="0" bottom="0" percent="0" rank="0" text="" dxfId="0">
      <formula>LEFT(M26,1)="▶"</formula>
    </cfRule>
  </conditionalFormatting>
  <conditionalFormatting sqref="J50:J53">
    <cfRule type="expression" priority="4" aboveAverage="0" equalAverage="0" bottom="0" percent="0" rank="0" text="" dxfId="1">
      <formula>AND(ISNUMBER(J50),J50&lt;$D$11)</formula>
    </cfRule>
  </conditionalFormatting>
  <conditionalFormatting sqref="D51:L53">
    <cfRule type="expression" priority="5" aboveAverage="0" equalAverage="0" bottom="0" percent="0" rank="0" text="" dxfId="2">
      <formula>$D$46&gt;0</formula>
    </cfRule>
  </conditionalFormatting>
  <conditionalFormatting sqref="D55:G59">
    <cfRule type="expression" priority="6" aboveAverage="0" equalAverage="0" bottom="0" percent="0" rank="0" text="" dxfId="2">
      <formula>$D$46&gt;0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2026-10-06T22:53:32Z</dcterms:created>
  <dc:creator>openpyxl</dc:creator>
  <dc:description/>
  <dc:language>en-US</dc:language>
  <cp:lastModifiedBy/>
  <dcterms:modified xsi:type="dcterms:W3CDTF">2026-10-06T22:53:32Z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