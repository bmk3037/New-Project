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<sst xmlns="http://schemas.openxmlformats.org/spreadsheetml/2006/main" count="125" uniqueCount="88">
  <si>
    <t xml:space="preserve">견   적   서</t>
  </si>
  <si>
    <t xml:space="preserve">견적번호</t>
  </si>
  <si>
    <t xml:space="preserve">[        ]</t>
  </si>
  <si>
    <t xml:space="preserve">공
급
자</t>
  </si>
  <si>
    <t xml:space="preserve">상호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</si>
  <si>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WenQuanYi Zen Hei"/>
        <family val="2"/>
      </rPr>
      <t xml:space="preserve">회사명</t>
    </r>
    <r>
      <rPr>
        <sz val="9"/>
        <color rgb="FF0000FF"/>
        <rFont val="맑은 고딕"/>
        <family val="0"/>
        <charset val="1"/>
      </rPr>
      <t xml:space="preserve">]</t>
    </r>
  </si>
  <si>
    <t xml:space="preserve">견적일자</t>
  </si>
  <si>
    <r>
      <rPr>
        <sz val="9"/>
        <color rgb="FF000000"/>
        <rFont val="맑은 고딕"/>
        <family val="0"/>
        <charset val="1"/>
      </rPr>
      <t xml:space="preserve">2026</t>
    </r>
    <r>
      <rPr>
        <sz val="9"/>
        <color rgb="FF000000"/>
        <rFont val="WenQuanYi Zen Hei"/>
        <family val="2"/>
      </rPr>
      <t xml:space="preserve">년 </t>
    </r>
    <r>
      <rPr>
        <sz val="9"/>
        <color rgb="FF000000"/>
        <rFont val="맑은 고딕"/>
        <family val="0"/>
        <charset val="1"/>
      </rPr>
      <t xml:space="preserve">10</t>
    </r>
    <r>
      <rPr>
        <sz val="9"/>
        <color rgb="FF000000"/>
        <rFont val="WenQuanYi Zen Hei"/>
        <family val="2"/>
      </rPr>
      <t xml:space="preserve">월 </t>
    </r>
    <r>
      <rPr>
        <sz val="9"/>
        <color rgb="FF000000"/>
        <rFont val="맑은 고딕"/>
        <family val="0"/>
        <charset val="1"/>
      </rPr>
      <t xml:space="preserve">6</t>
    </r>
    <r>
      <rPr>
        <sz val="9"/>
        <color rgb="FF000000"/>
        <rFont val="WenQuanYi Zen Hei"/>
        <family val="2"/>
      </rPr>
      <t xml:space="preserve">일</t>
    </r>
  </si>
  <si>
    <t xml:space="preserve">대표자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</si>
  <si>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WenQuanYi Zen Hei"/>
        <family val="2"/>
      </rPr>
      <t xml:space="preserve">대표자</t>
    </r>
    <r>
      <rPr>
        <sz val="9"/>
        <color rgb="FF0000FF"/>
        <rFont val="맑은 고딕"/>
        <family val="0"/>
        <charset val="1"/>
      </rPr>
      <t xml:space="preserve">]      (</t>
    </r>
    <r>
      <rPr>
        <sz val="9"/>
        <color rgb="FF0000FF"/>
        <rFont val="WenQuanYi Zen Hei"/>
        <family val="2"/>
      </rPr>
      <t xml:space="preserve">인</t>
    </r>
    <r>
      <rPr>
        <sz val="9"/>
        <color rgb="FF0000FF"/>
        <rFont val="맑은 고딕"/>
        <family val="0"/>
        <charset val="1"/>
      </rPr>
      <t xml:space="preserve">)</t>
    </r>
  </si>
  <si>
    <t xml:space="preserve">수    신</t>
  </si>
  <si>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주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WenQuanYi Zen Hei"/>
        <family val="2"/>
      </rPr>
      <t xml:space="preserve">테크로스 전략구매팀 귀하</t>
    </r>
  </si>
  <si>
    <t xml:space="preserve">사업자번호</t>
  </si>
  <si>
    <t xml:space="preserve">[   -  -     ]</t>
  </si>
  <si>
    <t xml:space="preserve">건    명</t>
  </si>
  <si>
    <r>
      <rPr>
        <sz val="9"/>
        <color rgb="FF000000"/>
        <rFont val="맑은 고딕"/>
        <family val="0"/>
        <charset val="1"/>
      </rPr>
      <t xml:space="preserve">PLC </t>
    </r>
    <r>
      <rPr>
        <sz val="9"/>
        <color rgb="FF000000"/>
        <rFont val="WenQuanYi Zen Hei"/>
        <family val="2"/>
      </rPr>
      <t xml:space="preserve">교체 </t>
    </r>
    <r>
      <rPr>
        <sz val="9"/>
        <color rgb="FF000000"/>
        <rFont val="맑은 고딕"/>
        <family val="0"/>
        <charset val="1"/>
      </rPr>
      <t xml:space="preserve">(TSU · ANU · ANU-S · MCC) </t>
    </r>
    <r>
      <rPr>
        <sz val="9"/>
        <color rgb="FF000000"/>
        <rFont val="WenQuanYi Zen Hei"/>
        <family val="2"/>
      </rPr>
      <t xml:space="preserve">견적</t>
    </r>
  </si>
  <si>
    <t xml:space="preserve">주소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</si>
  <si>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WenQuanYi Zen Hei"/>
        <family val="2"/>
      </rPr>
      <t xml:space="preserve">주소</t>
    </r>
    <r>
      <rPr>
        <sz val="9"/>
        <color rgb="FF0000FF"/>
        <rFont val="맑은 고딕"/>
        <family val="0"/>
        <charset val="1"/>
      </rPr>
      <t xml:space="preserve">]</t>
    </r>
  </si>
  <si>
    <t xml:space="preserve">유효기간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</si>
  <si>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WenQuanYi Zen Hei"/>
        <family val="2"/>
      </rPr>
      <t xml:space="preserve">견적일로부터    일</t>
    </r>
    <r>
      <rPr>
        <sz val="9"/>
        <color rgb="FF0000FF"/>
        <rFont val="맑은 고딕"/>
        <family val="0"/>
        <charset val="1"/>
      </rPr>
      <t xml:space="preserve">]</t>
    </r>
  </si>
  <si>
    <r>
      <rPr>
        <b val="true"/>
        <sz val="8"/>
        <color rgb="FF000000"/>
        <rFont val="WenQuanYi Zen Hei"/>
        <family val="2"/>
      </rPr>
      <t xml:space="preserve">담당</t>
    </r>
    <r>
      <rPr>
        <b val="true"/>
        <sz val="8"/>
        <color rgb="FF000000"/>
        <rFont val="맑은 고딕"/>
        <family val="0"/>
        <charset val="1"/>
      </rPr>
      <t xml:space="preserve">/</t>
    </r>
    <r>
      <rPr>
        <b val="true"/>
        <sz val="8"/>
        <color rgb="FF000000"/>
        <rFont val="WenQuanYi Zen Hei"/>
        <family val="2"/>
      </rPr>
      <t xml:space="preserve">연락처</t>
    </r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</si>
  <si>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WenQuanYi Zen Hei"/>
        <family val="2"/>
      </rPr>
      <t xml:space="preserve">담당자</t>
    </r>
    <r>
      <rPr>
        <sz val="9"/>
        <color rgb="FF0000FF"/>
        <rFont val="맑은 고딕"/>
        <family val="0"/>
        <charset val="1"/>
      </rPr>
      <t xml:space="preserve">] / [</t>
    </r>
    <r>
      <rPr>
        <sz val="9"/>
        <color rgb="FF0000FF"/>
        <rFont val="WenQuanYi Zen Hei"/>
        <family val="2"/>
      </rPr>
      <t xml:space="preserve">연락처</t>
    </r>
    <r>
      <rPr>
        <sz val="9"/>
        <color rgb="FF0000FF"/>
        <rFont val="맑은 고딕"/>
        <family val="0"/>
        <charset val="1"/>
      </rPr>
      <t xml:space="preserve">]</t>
    </r>
  </si>
  <si>
    <r>
      <rPr>
        <sz val="10"/>
        <color rgb="FF000000"/>
        <rFont val="WenQuanYi Zen Hei"/>
        <family val="2"/>
      </rPr>
      <t xml:space="preserve">아래와 같이 견적합니다</t>
    </r>
    <r>
      <rPr>
        <sz val="10"/>
        <color rgb="FF000000"/>
        <rFont val="맑은 고딕"/>
        <family val="0"/>
        <charset val="1"/>
      </rPr>
      <t xml:space="preserve">.  (</t>
    </r>
    <r>
      <rPr>
        <sz val="10"/>
        <color rgb="FF000000"/>
        <rFont val="WenQuanYi Zen Hei"/>
        <family val="2"/>
      </rPr>
      <t xml:space="preserve">단위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원</t>
    </r>
    <r>
      <rPr>
        <sz val="10"/>
        <color rgb="FF000000"/>
        <rFont val="맑은 고딕"/>
        <family val="0"/>
        <charset val="1"/>
      </rPr>
      <t xml:space="preserve">, VAT </t>
    </r>
    <r>
      <rPr>
        <sz val="10"/>
        <color rgb="FF000000"/>
        <rFont val="WenQuanYi Zen Hei"/>
        <family val="2"/>
      </rPr>
      <t xml:space="preserve">별도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</si>
  <si>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연간 예상 금액 — </t>
    </r>
    <r>
      <rPr>
        <b val="true"/>
        <sz val="10"/>
        <color rgb="FF000000"/>
        <rFont val="맑은 고딕"/>
        <family val="0"/>
        <charset val="1"/>
      </rPr>
      <t xml:space="preserve">DC24V </t>
    </r>
    <r>
      <rPr>
        <b val="true"/>
        <sz val="10"/>
        <color rgb="FF000000"/>
        <rFont val="WenQuanYi Zen Hei"/>
        <family val="2"/>
      </rPr>
      <t xml:space="preserve">사양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권장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</si>
  <si>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연간 예상 금액 — </t>
    </r>
    <r>
      <rPr>
        <b val="true"/>
        <sz val="10"/>
        <color rgb="FF000000"/>
        <rFont val="맑은 고딕"/>
        <family val="0"/>
        <charset val="1"/>
      </rPr>
      <t xml:space="preserve">AC220V </t>
    </r>
    <r>
      <rPr>
        <b val="true"/>
        <sz val="10"/>
        <color rgb="FF000000"/>
        <rFont val="WenQuanYi Zen Hei"/>
        <family val="2"/>
      </rPr>
      <t xml:space="preserve">사양</t>
    </r>
  </si>
  <si>
    <r>
      <rPr>
        <b val="true"/>
        <sz val="11"/>
        <color rgb="FF1F3864"/>
        <rFont val="맑은 고딕"/>
        <family val="0"/>
        <charset val="1"/>
      </rPr>
      <t xml:space="preserve">1. </t>
    </r>
    <r>
      <rPr>
        <b val="true"/>
        <sz val="11"/>
        <color rgb="FF1F3864"/>
        <rFont val="WenQuanYi Zen Hei"/>
        <family val="2"/>
      </rPr>
      <t xml:space="preserve">세부 견적 — </t>
    </r>
    <r>
      <rPr>
        <b val="true"/>
        <sz val="11"/>
        <color rgb="FF1F3864"/>
        <rFont val="맑은 고딕"/>
        <family val="0"/>
        <charset val="1"/>
      </rPr>
      <t xml:space="preserve">DC24V </t>
    </r>
    <r>
      <rPr>
        <b val="true"/>
        <sz val="11"/>
        <color rgb="FF1F3864"/>
        <rFont val="WenQuanYi Zen Hei"/>
        <family val="2"/>
      </rPr>
      <t xml:space="preserve">사양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권장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</si>
  <si>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No.</t>
  </si>
  <si>
    <t xml:space="preserve">프로젝트</t>
  </si>
  <si>
    <t xml:space="preserve">모델</t>
  </si>
  <si>
    <t xml:space="preserve">사양</t>
  </si>
  <si>
    <t xml:space="preserve">단위</t>
  </si>
  <si>
    <t xml:space="preserve">수량</t>
  </si>
  <si>
    <t xml:space="preserve">단가</t>
  </si>
  <si>
    <t xml:space="preserve">금액</t>
  </si>
  <si>
    <t xml:space="preserve">비고</t>
  </si>
  <si>
    <t xml:space="preserve">TSU</t>
  </si>
  <si>
    <t xml:space="preserve">TM241C24T</t>
  </si>
  <si>
    <t xml:space="preserve">M241 CPU, DI 14 / DO 10 (TR), Serial 2CH, DC24V</t>
  </si>
  <si>
    <t xml:space="preserve">EA</t>
  </si>
  <si>
    <r>
      <rPr>
        <b val="true"/>
        <sz val="9"/>
        <color rgb="FF000000"/>
        <rFont val="맑은 고딕"/>
        <family val="0"/>
        <charset val="1"/>
      </rPr>
      <t xml:space="preserve">TSU DC24V  1</t>
    </r>
    <r>
      <rPr>
        <b val="true"/>
        <sz val="9"/>
        <color rgb="FF000000"/>
        <rFont val="WenQuanYi Zen Hei"/>
        <family val="2"/>
      </rPr>
      <t xml:space="preserve">대 합계   </t>
    </r>
    <r>
      <rPr>
        <b val="true"/>
        <sz val="9"/>
        <color rgb="FF000000"/>
        <rFont val="맑은 고딕"/>
        <family val="0"/>
        <charset val="1"/>
      </rPr>
      <t xml:space="preserve">(DI 14 / DO 10 / Serial 2CH)</t>
    </r>
  </si>
  <si>
    <t xml:space="preserve">ANU</t>
  </si>
  <si>
    <t xml:space="preserve">TM241C40T</t>
  </si>
  <si>
    <t xml:space="preserve">M241 CPU, DI 24 / DO 16 (TR), Serial 2CH, DC24V</t>
  </si>
  <si>
    <r>
      <rPr>
        <b val="true"/>
        <sz val="9"/>
        <color rgb="FF000000"/>
        <rFont val="맑은 고딕"/>
        <family val="0"/>
        <charset val="1"/>
      </rPr>
      <t xml:space="preserve">ANU DC24V  1</t>
    </r>
    <r>
      <rPr>
        <b val="true"/>
        <sz val="9"/>
        <color rgb="FF000000"/>
        <rFont val="WenQuanYi Zen Hei"/>
        <family val="2"/>
      </rPr>
      <t xml:space="preserve">대 합계   </t>
    </r>
    <r>
      <rPr>
        <b val="true"/>
        <sz val="9"/>
        <color rgb="FF000000"/>
        <rFont val="맑은 고딕"/>
        <family val="0"/>
        <charset val="1"/>
      </rPr>
      <t xml:space="preserve">(DI 24 / DO 16 / Serial 2CH)</t>
    </r>
  </si>
  <si>
    <t xml:space="preserve">ANU-S</t>
  </si>
  <si>
    <t xml:space="preserve">TM3AQ2</t>
  </si>
  <si>
    <r>
      <rPr>
        <sz val="8"/>
        <color rgb="FF000000"/>
        <rFont val="맑은 고딕"/>
        <family val="0"/>
        <charset val="1"/>
      </rPr>
      <t xml:space="preserve">TM3 </t>
    </r>
    <r>
      <rPr>
        <sz val="8"/>
        <color rgb="FF000000"/>
        <rFont val="WenQuanYi Zen Hei"/>
        <family val="2"/>
      </rPr>
      <t xml:space="preserve">아날로그 출력 </t>
    </r>
    <r>
      <rPr>
        <sz val="8"/>
        <color rgb="FF000000"/>
        <rFont val="맑은 고딕"/>
        <family val="0"/>
        <charset val="1"/>
      </rPr>
      <t xml:space="preserve">2CH</t>
    </r>
  </si>
  <si>
    <r>
      <rPr>
        <b val="true"/>
        <sz val="9"/>
        <color rgb="FF000000"/>
        <rFont val="맑은 고딕"/>
        <family val="0"/>
        <charset val="1"/>
      </rPr>
      <t xml:space="preserve">ANU-S DC24V  1</t>
    </r>
    <r>
      <rPr>
        <b val="true"/>
        <sz val="9"/>
        <color rgb="FF000000"/>
        <rFont val="WenQuanYi Zen Hei"/>
        <family val="2"/>
      </rPr>
      <t xml:space="preserve">대 합계   </t>
    </r>
    <r>
      <rPr>
        <b val="true"/>
        <sz val="9"/>
        <color rgb="FF000000"/>
        <rFont val="맑은 고딕"/>
        <family val="0"/>
        <charset val="1"/>
      </rPr>
      <t xml:space="preserve">(DI 14 / DO 10 / AO 2 / Serial 2CH)</t>
    </r>
  </si>
  <si>
    <t xml:space="preserve">MCC</t>
  </si>
  <si>
    <t xml:space="preserve">TM241CE40T</t>
  </si>
  <si>
    <t xml:space="preserve">M241 CPU, DI 24 / DO 16 (TR), Serial 2CH + Ethernet, DC24V</t>
  </si>
  <si>
    <t xml:space="preserve">TM3DI16</t>
  </si>
  <si>
    <r>
      <rPr>
        <sz val="8"/>
        <color rgb="FF000000"/>
        <rFont val="맑은 고딕"/>
        <family val="0"/>
        <charset val="1"/>
      </rPr>
      <t xml:space="preserve">TM3 </t>
    </r>
    <r>
      <rPr>
        <sz val="8"/>
        <color rgb="FF000000"/>
        <rFont val="WenQuanYi Zen Hei"/>
        <family val="2"/>
      </rPr>
      <t xml:space="preserve">디지털 입력 </t>
    </r>
    <r>
      <rPr>
        <sz val="8"/>
        <color rgb="FF000000"/>
        <rFont val="맑은 고딕"/>
        <family val="0"/>
        <charset val="1"/>
      </rPr>
      <t xml:space="preserve">16</t>
    </r>
    <r>
      <rPr>
        <sz val="8"/>
        <color rgb="FF000000"/>
        <rFont val="WenQuanYi Zen Hei"/>
        <family val="2"/>
      </rPr>
      <t xml:space="preserve">점</t>
    </r>
  </si>
  <si>
    <t xml:space="preserve">TM3DQ16T</t>
  </si>
  <si>
    <r>
      <rPr>
        <sz val="8"/>
        <color rgb="FF000000"/>
        <rFont val="맑은 고딕"/>
        <family val="0"/>
        <charset val="1"/>
      </rPr>
      <t xml:space="preserve">TM3 </t>
    </r>
    <r>
      <rPr>
        <sz val="8"/>
        <color rgb="FF000000"/>
        <rFont val="WenQuanYi Zen Hei"/>
        <family val="2"/>
      </rPr>
      <t xml:space="preserve">트랜지스터 출력 </t>
    </r>
    <r>
      <rPr>
        <sz val="8"/>
        <color rgb="FF000000"/>
        <rFont val="맑은 고딕"/>
        <family val="0"/>
        <charset val="1"/>
      </rPr>
      <t xml:space="preserve">16</t>
    </r>
    <r>
      <rPr>
        <sz val="8"/>
        <color rgb="FF000000"/>
        <rFont val="WenQuanYi Zen Hei"/>
        <family val="2"/>
      </rPr>
      <t xml:space="preserve">점</t>
    </r>
  </si>
  <si>
    <t xml:space="preserve">TM3DQ8T</t>
  </si>
  <si>
    <r>
      <rPr>
        <sz val="8"/>
        <color rgb="FF000000"/>
        <rFont val="맑은 고딕"/>
        <family val="0"/>
        <charset val="1"/>
      </rPr>
      <t xml:space="preserve">TM3 </t>
    </r>
    <r>
      <rPr>
        <sz val="8"/>
        <color rgb="FF000000"/>
        <rFont val="WenQuanYi Zen Hei"/>
        <family val="2"/>
      </rPr>
      <t xml:space="preserve">트랜지스터 출력 </t>
    </r>
    <r>
      <rPr>
        <sz val="8"/>
        <color rgb="FF000000"/>
        <rFont val="맑은 고딕"/>
        <family val="0"/>
        <charset val="1"/>
      </rPr>
      <t xml:space="preserve">8</t>
    </r>
    <r>
      <rPr>
        <sz val="8"/>
        <color rgb="FF000000"/>
        <rFont val="WenQuanYi Zen Hei"/>
        <family val="2"/>
      </rPr>
      <t xml:space="preserve">점</t>
    </r>
  </si>
  <si>
    <t xml:space="preserve">TM3AQ4</t>
  </si>
  <si>
    <r>
      <rPr>
        <sz val="8"/>
        <color rgb="FF000000"/>
        <rFont val="맑은 고딕"/>
        <family val="0"/>
        <charset val="1"/>
      </rPr>
      <t xml:space="preserve">TM3 </t>
    </r>
    <r>
      <rPr>
        <sz val="8"/>
        <color rgb="FF000000"/>
        <rFont val="WenQuanYi Zen Hei"/>
        <family val="2"/>
      </rPr>
      <t xml:space="preserve">아날로그 출력 </t>
    </r>
    <r>
      <rPr>
        <sz val="8"/>
        <color rgb="FF000000"/>
        <rFont val="맑은 고딕"/>
        <family val="0"/>
        <charset val="1"/>
      </rPr>
      <t xml:space="preserve">4CH</t>
    </r>
  </si>
  <si>
    <t xml:space="preserve">TM3XTRA1</t>
  </si>
  <si>
    <r>
      <rPr>
        <sz val="8"/>
        <color rgb="FF000000"/>
        <rFont val="맑은 고딕"/>
        <family val="0"/>
        <charset val="1"/>
      </rPr>
      <t xml:space="preserve">TM3 </t>
    </r>
    <r>
      <rPr>
        <sz val="8"/>
        <color rgb="FF000000"/>
        <rFont val="WenQuanYi Zen Hei"/>
        <family val="2"/>
      </rPr>
      <t xml:space="preserve">버스 확장 모듈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WenQuanYi Zen Hei"/>
        <family val="2"/>
      </rPr>
      <t xml:space="preserve">송신</t>
    </r>
    <r>
      <rPr>
        <sz val="8"/>
        <color rgb="FF000000"/>
        <rFont val="맑은 고딕"/>
        <family val="0"/>
        <charset val="1"/>
      </rPr>
      <t xml:space="preserve">)</t>
    </r>
  </si>
  <si>
    <t xml:space="preserve">TM3XREC1</t>
  </si>
  <si>
    <r>
      <rPr>
        <sz val="8"/>
        <color rgb="FF000000"/>
        <rFont val="맑은 고딕"/>
        <family val="0"/>
        <charset val="1"/>
      </rPr>
      <t xml:space="preserve">TM3 </t>
    </r>
    <r>
      <rPr>
        <sz val="8"/>
        <color rgb="FF000000"/>
        <rFont val="WenQuanYi Zen Hei"/>
        <family val="2"/>
      </rPr>
      <t xml:space="preserve">버스 확장 모듈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WenQuanYi Zen Hei"/>
        <family val="2"/>
      </rPr>
      <t xml:space="preserve">수신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</si>
  <si>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b val="true"/>
        <sz val="9"/>
        <color rgb="FF000000"/>
        <rFont val="맑은 고딕"/>
        <family val="0"/>
        <charset val="1"/>
      </rPr>
      <t xml:space="preserve">MCC DC24V  1</t>
    </r>
    <r>
      <rPr>
        <b val="true"/>
        <sz val="9"/>
        <color rgb="FF000000"/>
        <rFont val="WenQuanYi Zen Hei"/>
        <family val="2"/>
      </rPr>
      <t xml:space="preserve">대 합계   </t>
    </r>
    <r>
      <rPr>
        <b val="true"/>
        <sz val="9"/>
        <color rgb="FF000000"/>
        <rFont val="맑은 고딕"/>
        <family val="0"/>
        <charset val="1"/>
      </rPr>
      <t xml:space="preserve">(DI 104 / DO 56 / AO 4 / Serial 2CH + Ethernet)</t>
    </r>
  </si>
  <si>
    <r>
      <rPr>
        <b val="true"/>
        <sz val="11"/>
        <color rgb="FF1F3864"/>
        <rFont val="맑은 고딕"/>
        <family val="0"/>
        <charset val="1"/>
      </rPr>
      <t xml:space="preserve">2. </t>
    </r>
    <r>
      <rPr>
        <b val="true"/>
        <sz val="11"/>
        <color rgb="FF1F3864"/>
        <rFont val="WenQuanYi Zen Hei"/>
        <family val="2"/>
      </rPr>
      <t xml:space="preserve">세부 견적 — </t>
    </r>
    <r>
      <rPr>
        <b val="true"/>
        <sz val="11"/>
        <color rgb="FF1F3864"/>
        <rFont val="맑은 고딕"/>
        <family val="0"/>
        <charset val="1"/>
      </rPr>
      <t xml:space="preserve">AC220V </t>
    </r>
    <r>
      <rPr>
        <b val="true"/>
        <sz val="11"/>
        <color rgb="FF1F3864"/>
        <rFont val="WenQuanYi Zen Hei"/>
        <family val="2"/>
      </rPr>
      <t xml:space="preserve">사양</t>
    </r>
  </si>
  <si>
    <t xml:space="preserve">TM241C24R</t>
  </si>
  <si>
    <t xml:space="preserve">M241 CPU, DI 14 / DO 10 (Relay 6 + TR 4), Serial 2CH, AC100~240V</t>
  </si>
  <si>
    <r>
      <rPr>
        <b val="true"/>
        <sz val="9"/>
        <color rgb="FF000000"/>
        <rFont val="맑은 고딕"/>
        <family val="0"/>
        <charset val="1"/>
      </rPr>
      <t xml:space="preserve">TSU AC220V  1</t>
    </r>
    <r>
      <rPr>
        <b val="true"/>
        <sz val="9"/>
        <color rgb="FF000000"/>
        <rFont val="WenQuanYi Zen Hei"/>
        <family val="2"/>
      </rPr>
      <t xml:space="preserve">대 합계   </t>
    </r>
    <r>
      <rPr>
        <b val="true"/>
        <sz val="9"/>
        <color rgb="FF000000"/>
        <rFont val="맑은 고딕"/>
        <family val="0"/>
        <charset val="1"/>
      </rPr>
      <t xml:space="preserve">(DI 14 / DO 10 / Serial 2CH)</t>
    </r>
  </si>
  <si>
    <t xml:space="preserve">TM241C40R</t>
  </si>
  <si>
    <t xml:space="preserve">M241 CPU, DI 24 / DO 16 (Relay 12 + TR 4), Serial 2CH, AC100~240V</t>
  </si>
  <si>
    <r>
      <rPr>
        <b val="true"/>
        <sz val="9"/>
        <color rgb="FF000000"/>
        <rFont val="맑은 고딕"/>
        <family val="0"/>
        <charset val="1"/>
      </rPr>
      <t xml:space="preserve">ANU AC220V  1</t>
    </r>
    <r>
      <rPr>
        <b val="true"/>
        <sz val="9"/>
        <color rgb="FF000000"/>
        <rFont val="WenQuanYi Zen Hei"/>
        <family val="2"/>
      </rPr>
      <t xml:space="preserve">대 합계   </t>
    </r>
    <r>
      <rPr>
        <b val="true"/>
        <sz val="9"/>
        <color rgb="FF000000"/>
        <rFont val="맑은 고딕"/>
        <family val="0"/>
        <charset val="1"/>
      </rPr>
      <t xml:space="preserve">(DI 24 / DO 16 / Serial 2CH)</t>
    </r>
  </si>
  <si>
    <r>
      <rPr>
        <b val="true"/>
        <sz val="9"/>
        <color rgb="FF000000"/>
        <rFont val="맑은 고딕"/>
        <family val="0"/>
        <charset val="1"/>
      </rPr>
      <t xml:space="preserve">ANU-S AC220V  1</t>
    </r>
    <r>
      <rPr>
        <b val="true"/>
        <sz val="9"/>
        <color rgb="FF000000"/>
        <rFont val="WenQuanYi Zen Hei"/>
        <family val="2"/>
      </rPr>
      <t xml:space="preserve">대 합계   </t>
    </r>
    <r>
      <rPr>
        <b val="true"/>
        <sz val="9"/>
        <color rgb="FF000000"/>
        <rFont val="맑은 고딕"/>
        <family val="0"/>
        <charset val="1"/>
      </rPr>
      <t xml:space="preserve">(DI 14 / DO 10 / AO 2 / Serial 2CH)</t>
    </r>
  </si>
  <si>
    <r>
      <rPr>
        <sz val="8"/>
        <color rgb="FF595959"/>
        <rFont val="맑은 고딕"/>
        <family val="0"/>
        <charset val="1"/>
      </rPr>
      <t xml:space="preserve">※ MCC</t>
    </r>
    <r>
      <rPr>
        <sz val="8"/>
        <color rgb="FF595959"/>
        <rFont val="WenQuanYi Zen Hei"/>
        <family val="2"/>
      </rPr>
      <t xml:space="preserve">는 </t>
    </r>
    <r>
      <rPr>
        <sz val="8"/>
        <color rgb="FF595959"/>
        <rFont val="맑은 고딕"/>
        <family val="0"/>
        <charset val="1"/>
      </rPr>
      <t xml:space="preserve">DC24V </t>
    </r>
    <r>
      <rPr>
        <sz val="8"/>
        <color rgb="FF595959"/>
        <rFont val="WenQuanYi Zen Hei"/>
        <family val="2"/>
      </rPr>
      <t xml:space="preserve">사양만 해당 — </t>
    </r>
    <r>
      <rPr>
        <sz val="8"/>
        <color rgb="FF595959"/>
        <rFont val="맑은 고딕"/>
        <family val="0"/>
        <charset val="1"/>
      </rPr>
      <t xml:space="preserve">1</t>
    </r>
    <r>
      <rPr>
        <sz val="8"/>
        <color rgb="FF595959"/>
        <rFont val="WenQuanYi Zen Hei"/>
        <family val="2"/>
      </rPr>
      <t xml:space="preserve">항의 </t>
    </r>
    <r>
      <rPr>
        <sz val="8"/>
        <color rgb="FF595959"/>
        <rFont val="맑은 고딕"/>
        <family val="0"/>
        <charset val="1"/>
      </rPr>
      <t xml:space="preserve">MCC </t>
    </r>
    <r>
      <rPr>
        <sz val="8"/>
        <color rgb="FF595959"/>
        <rFont val="WenQuanYi Zen Hei"/>
        <family val="2"/>
      </rPr>
      <t xml:space="preserve">구성과 동일</t>
    </r>
  </si>
  <si>
    <r>
      <rPr>
        <b val="true"/>
        <sz val="11"/>
        <color rgb="FF1F3864"/>
        <rFont val="맑은 고딕"/>
        <family val="0"/>
        <charset val="1"/>
      </rPr>
      <t xml:space="preserve">3. </t>
    </r>
    <r>
      <rPr>
        <b val="true"/>
        <sz val="11"/>
        <color rgb="FF1F3864"/>
        <rFont val="WenQuanYi Zen Hei"/>
        <family val="2"/>
      </rPr>
      <t xml:space="preserve">연간 예상 금액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귀사 제시 수량 기준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</si>
  <si>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9"/>
        <color rgb="FF000000"/>
        <rFont val="맑은 고딕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대 금액 </t>
    </r>
    <r>
      <rPr>
        <b val="true"/>
        <sz val="9"/>
        <color rgb="FF000000"/>
        <rFont val="맑은 고딕"/>
        <family val="0"/>
        <charset val="1"/>
      </rPr>
      <t xml:space="preserve">DC24V</t>
    </r>
  </si>
  <si>
    <r>
      <rPr>
        <b val="true"/>
        <sz val="9"/>
        <color rgb="FF000000"/>
        <rFont val="맑은 고딕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대 금액 </t>
    </r>
    <r>
      <rPr>
        <b val="true"/>
        <sz val="9"/>
        <color rgb="FF000000"/>
        <rFont val="맑은 고딕"/>
        <family val="0"/>
        <charset val="1"/>
      </rPr>
      <t xml:space="preserve">AC220V</t>
    </r>
  </si>
  <si>
    <t xml:space="preserve">연간 수량</t>
  </si>
  <si>
    <r>
      <rPr>
        <b val="true"/>
        <sz val="9"/>
        <color rgb="FF000000"/>
        <rFont val="WenQuanYi Zen Hei"/>
        <family val="2"/>
      </rPr>
      <t xml:space="preserve">연간 금액 </t>
    </r>
    <r>
      <rPr>
        <b val="true"/>
        <sz val="9"/>
        <color rgb="FF000000"/>
        <rFont val="맑은 고딕"/>
        <family val="0"/>
        <charset val="1"/>
      </rPr>
      <t xml:space="preserve">DC24V</t>
    </r>
  </si>
  <si>
    <r>
      <rPr>
        <b val="true"/>
        <sz val="9"/>
        <color rgb="FF000000"/>
        <rFont val="WenQuanYi Zen Hei"/>
        <family val="2"/>
      </rPr>
      <t xml:space="preserve">연간 금액 </t>
    </r>
    <r>
      <rPr>
        <b val="true"/>
        <sz val="9"/>
        <color rgb="FF000000"/>
        <rFont val="맑은 고딕"/>
        <family val="0"/>
        <charset val="1"/>
      </rPr>
      <t xml:space="preserve">AC220V</t>
    </r>
  </si>
  <si>
    <r>
      <rPr>
        <sz val="8"/>
        <color rgb="FF595959"/>
        <rFont val="맑은 고딕"/>
        <family val="0"/>
        <charset val="1"/>
      </rPr>
      <t xml:space="preserve">DC24V</t>
    </r>
    <r>
      <rPr>
        <sz val="8"/>
        <color rgb="FF595959"/>
        <rFont val="WenQuanYi Zen Hei"/>
        <family val="2"/>
      </rPr>
      <t xml:space="preserve">만</t>
    </r>
  </si>
  <si>
    <t xml:space="preserve">합계</t>
  </si>
  <si>
    <t xml:space="preserve">특기 사항</t>
  </si>
  <si>
    <r>
      <rPr>
        <sz val="9"/>
        <color rgb="FF000000"/>
        <rFont val="맑은 고딕"/>
        <family val="0"/>
        <charset val="1"/>
      </rPr>
      <t xml:space="preserve">1. </t>
    </r>
    <r>
      <rPr>
        <sz val="9"/>
        <color rgb="FF000000"/>
        <rFont val="WenQuanYi Zen Hei"/>
        <family val="2"/>
      </rPr>
      <t xml:space="preserve">가격 기준</t>
    </r>
    <r>
      <rPr>
        <sz val="9"/>
        <color rgb="FF000000"/>
        <rFont val="맑은 고딕"/>
        <family val="0"/>
        <charset val="1"/>
      </rPr>
      <t xml:space="preserve">: 2027</t>
    </r>
    <r>
      <rPr>
        <sz val="9"/>
        <color rgb="FF000000"/>
        <rFont val="WenQuanYi Zen Hei"/>
        <family val="2"/>
      </rPr>
      <t xml:space="preserve">년 공급 가격 기준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부가가치세 별도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</si>
  <si>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2. TSU · ANU · ANU-S</t>
    </r>
    <r>
      <rPr>
        <sz val="9"/>
        <color rgb="FF000000"/>
        <rFont val="WenQuanYi Zen Hei"/>
        <family val="2"/>
      </rPr>
      <t xml:space="preserve">는 </t>
    </r>
    <r>
      <rPr>
        <sz val="9"/>
        <color rgb="FF000000"/>
        <rFont val="맑은 고딕"/>
        <family val="0"/>
        <charset val="1"/>
      </rPr>
      <t xml:space="preserve">DC24V(</t>
    </r>
    <r>
      <rPr>
        <sz val="9"/>
        <color rgb="FF000000"/>
        <rFont val="WenQuanYi Zen Hei"/>
        <family val="2"/>
      </rPr>
      <t xml:space="preserve">권장</t>
    </r>
    <r>
      <rPr>
        <sz val="9"/>
        <color rgb="FF000000"/>
        <rFont val="맑은 고딕"/>
        <family val="0"/>
        <charset val="1"/>
      </rPr>
      <t xml:space="preserve">) / AC220V </t>
    </r>
    <r>
      <rPr>
        <sz val="9"/>
        <color rgb="FF000000"/>
        <rFont val="WenQuanYi Zen Hei"/>
        <family val="2"/>
      </rPr>
      <t xml:space="preserve">사양 중 선택</t>
    </r>
    <r>
      <rPr>
        <sz val="9"/>
        <color rgb="FF000000"/>
        <rFont val="맑은 고딕"/>
        <family val="0"/>
        <charset val="1"/>
      </rPr>
      <t xml:space="preserve">, MCC</t>
    </r>
    <r>
      <rPr>
        <sz val="9"/>
        <color rgb="FF000000"/>
        <rFont val="WenQuanYi Zen Hei"/>
        <family val="2"/>
      </rPr>
      <t xml:space="preserve">는 </t>
    </r>
    <r>
      <rPr>
        <sz val="9"/>
        <color rgb="FF000000"/>
        <rFont val="맑은 고딕"/>
        <family val="0"/>
        <charset val="1"/>
      </rPr>
      <t xml:space="preserve">DC24V </t>
    </r>
    <r>
      <rPr>
        <sz val="9"/>
        <color rgb="FF000000"/>
        <rFont val="WenQuanYi Zen Hei"/>
        <family val="2"/>
      </rPr>
      <t xml:space="preserve">사양입니다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</si>
  <si>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3. </t>
    </r>
    <r>
      <rPr>
        <sz val="9"/>
        <color rgb="FF000000"/>
        <rFont val="WenQuanYi Zen Hei"/>
        <family val="2"/>
      </rPr>
      <t xml:space="preserve">연간 예상 수량</t>
    </r>
    <r>
      <rPr>
        <sz val="9"/>
        <color rgb="FF000000"/>
        <rFont val="맑은 고딕"/>
        <family val="0"/>
        <charset val="1"/>
      </rPr>
      <t xml:space="preserve">(TSU 200 / ANU 300 / ANU-S 50 / MCC 100 EA)</t>
    </r>
    <r>
      <rPr>
        <sz val="9"/>
        <color rgb="FF000000"/>
        <rFont val="WenQuanYi Zen Hei"/>
        <family val="2"/>
      </rPr>
      <t xml:space="preserve">은 귀사 제시 수량 기준이며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실제 발주 수량에 따라 정산합니다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</si>
  <si>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4. </t>
    </r>
    <r>
      <rPr>
        <sz val="9"/>
        <color rgb="FF000000"/>
        <rFont val="WenQuanYi Zen Hei"/>
        <family val="2"/>
      </rPr>
      <t xml:space="preserve">제조사</t>
    </r>
    <r>
      <rPr>
        <sz val="9"/>
        <color rgb="FF000000"/>
        <rFont val="맑은 고딕"/>
        <family val="0"/>
        <charset val="1"/>
      </rPr>
      <t xml:space="preserve">: Schneider Electric (Modicon M241 / TM3).  </t>
    </r>
    <r>
      <rPr>
        <sz val="9"/>
        <color rgb="FF000000"/>
        <rFont val="WenQuanYi Zen Hei"/>
        <family val="2"/>
      </rPr>
      <t xml:space="preserve">선급 인증</t>
    </r>
    <r>
      <rPr>
        <sz val="9"/>
        <color rgb="FF000000"/>
        <rFont val="맑은 고딕"/>
        <family val="0"/>
        <charset val="1"/>
      </rPr>
      <t xml:space="preserve">: LR, ABS, DNV, KR.</t>
    </r>
  </si>
  <si>
    <r>
      <rPr>
        <sz val="9"/>
        <color rgb="FF000000"/>
        <rFont val="맑은 고딕"/>
        <family val="0"/>
        <charset val="1"/>
      </rPr>
      <t xml:space="preserve">5. </t>
    </r>
    <r>
      <rPr>
        <sz val="9"/>
        <color rgb="FF000000"/>
        <rFont val="WenQuanYi Zen Hei"/>
        <family val="2"/>
      </rPr>
      <t xml:space="preserve">프로그래밍</t>
    </r>
    <r>
      <rPr>
        <sz val="9"/>
        <color rgb="FF000000"/>
        <rFont val="맑은 고딕"/>
        <family val="0"/>
        <charset val="1"/>
      </rPr>
      <t xml:space="preserve">: EcoStruxure Machine Expert (IEC 61131-3, ST </t>
    </r>
    <r>
      <rPr>
        <sz val="9"/>
        <color rgb="FF000000"/>
        <rFont val="WenQuanYi Zen Hei"/>
        <family val="2"/>
      </rPr>
      <t xml:space="preserve">언어 지원</t>
    </r>
    <r>
      <rPr>
        <sz val="9"/>
        <color rgb="FF000000"/>
        <rFont val="맑은 고딕"/>
        <family val="0"/>
        <charset val="1"/>
      </rPr>
      <t xml:space="preserve">).</t>
    </r>
  </si>
  <si>
    <r>
      <rPr>
        <sz val="9"/>
        <color rgb="FF0000FF"/>
        <rFont val="맑은 고딕"/>
        <family val="0"/>
        <charset val="1"/>
      </rPr>
      <t xml:space="preserve">6. </t>
    </r>
    <r>
      <rPr>
        <sz val="9"/>
        <color rgb="FF0000FF"/>
        <rFont val="WenQuanYi Zen Hei"/>
        <family val="2"/>
      </rPr>
      <t xml:space="preserve">납기 </t>
    </r>
    <r>
      <rPr>
        <sz val="9"/>
        <color rgb="FF0000FF"/>
        <rFont val="맑은 고딕"/>
        <family val="0"/>
        <charset val="1"/>
      </rPr>
      <t xml:space="preserve">· </t>
    </r>
    <r>
      <rPr>
        <sz val="9"/>
        <color rgb="FF0000FF"/>
        <rFont val="WenQuanYi Zen Hei"/>
        <family val="2"/>
      </rPr>
      <t xml:space="preserve">결제 조건</t>
    </r>
    <r>
      <rPr>
        <sz val="9"/>
        <color rgb="FF0000FF"/>
        <rFont val="맑은 고딕"/>
        <family val="0"/>
        <charset val="1"/>
      </rPr>
      <t xml:space="preserve">: [</t>
    </r>
    <r>
      <rPr>
        <sz val="9"/>
        <color rgb="FF0000FF"/>
        <rFont val="WenQuanYi Zen Hei"/>
        <family val="2"/>
      </rPr>
      <t xml:space="preserve">협의</t>
    </r>
    <r>
      <rPr>
        <sz val="9"/>
        <color rgb="FF0000FF"/>
        <rFont val="맑은 고딕"/>
        <family val="0"/>
        <charset val="1"/>
      </rPr>
      <t xml:space="preserve">]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</si>
</sst>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-#,##0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00000"/>
      <name val="WenQuanYi Zen Hei"/>
      <family val="2"/>
    </font>
    <font>
      <b val="true"/>
      <sz val="9"/>
      <color rgb="FF000000"/>
      <name val="WenQuanYi Zen Hei"/>
      <family val="2"/>
    </font>
    <font>
      <sz val="9"/>
      <color rgb="FF0000FF"/>
      <name val="맑은 고딕"/>
      <family val="0"/>
      <charset val="1"/>
    </font>
    <font>
      <b val="true"/>
      <sz val="8"/>
      <color rgb="FF000000"/>
      <name val="WenQuanYi Zen Hei"/>
      <family val="2"/>
    </font>
    <font>
      <sz val="9"/>
      <color rgb="FF0000FF"/>
      <name val="WenQuanYi Zen Hei"/>
      <family val="2"/>
    </font>
    <font>
      <sz val="9"/>
      <color rgb="FF000000"/>
      <name val="맑은 고딕"/>
      <family val="0"/>
      <charset val="1"/>
    </font>
    <font>
      <sz val="9"/>
      <color rgb="FF000000"/>
      <name val="WenQuanYi Zen Hei"/>
      <family val="2"/>
    </font>
    <font>
      <b val="true"/>
      <sz val="8"/>
      <color rgb="FF000000"/>
      <name val="맑은 고딕"/>
      <family val="0"/>
      <charset val="1"/>
    </font>
    <font>
      <sz val="10"/>
      <color rgb="FF000000"/>
      <name val="WenQuanYi Zen Hei"/>
      <family val="2"/>
    </font>
    <font>
      <sz val="10"/>
      <color rgb="FF000000"/>
      <name val="맑은 고딕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000000"/>
      <name val="맑은 고딕"/>
      <family val="0"/>
      <charset val="1"/>
    </font>
    <font>
      <b val="true"/>
      <sz val="12"/>
      <color rgb="FF000000"/>
      <name val="맑은 고딕"/>
      <family val="0"/>
      <charset val="1"/>
    </font>
    <font>
      <b val="true"/>
      <sz val="11"/>
      <color rgb="FF1F3864"/>
      <name val="맑은 고딕"/>
      <family val="0"/>
      <charset val="1"/>
    </font>
    <font>
      <b val="true"/>
      <sz val="11"/>
      <color rgb="FF1F3864"/>
      <name val="WenQuanYi Zen Hei"/>
      <family val="2"/>
    </font>
    <font>
      <b val="true"/>
      <sz val="9"/>
      <color rgb="FF000000"/>
      <name val="맑은 고딕"/>
      <family val="0"/>
      <charset val="1"/>
    </font>
    <font>
      <sz val="8"/>
      <color rgb="FF000000"/>
      <name val="맑은 고딕"/>
      <family val="0"/>
      <charset val="1"/>
    </font>
    <font>
      <sz val="8"/>
      <color rgb="FF000000"/>
      <name val="WenQuanYi Zen Hei"/>
      <family val="2"/>
    </font>
    <font>
      <sz val="8"/>
      <color rgb="FF595959"/>
      <name val="맑은 고딕"/>
      <family val="0"/>
      <charset val="1"/>
    </font>
    <font>
      <sz val="8"/>
      <color rgb="FF595959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EDF2F9"/>
      </patternFill>
    </fill>
    <fill>
      <patternFill patternType="solid">
        <fgColor rgb="FFD9E1F2"/>
        <bgColor rgb="FFEDF2F9"/>
      </patternFill>
    </fill>
    <fill>
      <patternFill patternType="solid">
        <fgColor rgb="FFEDF2F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F2F9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36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true" outlineLevel="0" collapsed="false">
      <c r="A3" s="2" t="s">
        <v>1</v>
      </c>
      <c r="B3" s="2"/>
      <c r="C3" s="3" t="s">
        <v>2</v>
      </c>
      <c r="D3" s="3"/>
      <c r="E3" s="2" t="s">
        <v>3</v>
      </c>
      <c r="F3" s="4" t="s">
        <v>4</v>
      </c>
      <c r="G3" s="3" t="s">
        <v>5</v>
      </c>
      <c r="H3" s="3"/>
      <c r="I3" s="3"/>
    </row>
    <row r="4" customFormat="false" ht="15" hidden="false" customHeight="true" outlineLevel="0" collapsed="false">
      <c r="A4" s="2" t="s">
        <v>6</v>
      </c>
      <c r="B4" s="2"/>
      <c r="C4" s="5" t="s">
        <v>7</v>
      </c>
      <c r="D4" s="5"/>
      <c r="E4" s="2"/>
      <c r="F4" s="4" t="s">
        <v>8</v>
      </c>
      <c r="G4" s="3" t="s">
        <v>9</v>
      </c>
      <c r="H4" s="3"/>
      <c r="I4" s="3"/>
    </row>
    <row r="5" customFormat="false" ht="15" hidden="false" customHeight="true" outlineLevel="0" collapsed="false">
      <c r="A5" s="2" t="s">
        <v>10</v>
      </c>
      <c r="B5" s="2"/>
      <c r="C5" s="5" t="s">
        <v>11</v>
      </c>
      <c r="D5" s="5"/>
      <c r="E5" s="2"/>
      <c r="F5" s="4" t="s">
        <v>12</v>
      </c>
      <c r="G5" s="3" t="s">
        <v>13</v>
      </c>
      <c r="H5" s="3"/>
      <c r="I5" s="3"/>
    </row>
    <row r="6" customFormat="false" ht="15" hidden="false" customHeight="true" outlineLevel="0" collapsed="false">
      <c r="A6" s="2" t="s">
        <v>14</v>
      </c>
      <c r="B6" s="2"/>
      <c r="C6" s="5" t="s">
        <v>15</v>
      </c>
      <c r="D6" s="5"/>
      <c r="E6" s="2"/>
      <c r="F6" s="4" t="s">
        <v>16</v>
      </c>
      <c r="G6" s="3" t="s">
        <v>17</v>
      </c>
      <c r="H6" s="3"/>
      <c r="I6" s="3"/>
    </row>
    <row r="7" customFormat="false" ht="15" hidden="false" customHeight="true" outlineLevel="0" collapsed="false">
      <c r="A7" s="2" t="s">
        <v>18</v>
      </c>
      <c r="B7" s="2"/>
      <c r="C7" s="3" t="s">
        <v>19</v>
      </c>
      <c r="D7" s="3"/>
      <c r="E7" s="2"/>
      <c r="F7" s="4" t="s">
        <v>20</v>
      </c>
      <c r="G7" s="3" t="s">
        <v>21</v>
      </c>
      <c r="H7" s="3"/>
      <c r="I7" s="3"/>
    </row>
    <row r="9" customFormat="false" ht="15" hidden="false" customHeight="false" outlineLevel="0" collapsed="false">
      <c r="A9" s="6" t="s">
        <v>22</v>
      </c>
    </row>
    <row r="10" customFormat="false" ht="24" hidden="false" customHeight="true" outlineLevel="0" collapsed="false">
      <c r="A10" s="7" t="s">
        <v>23</v>
      </c>
      <c r="B10" s="7"/>
      <c r="C10" s="7"/>
      <c r="D10" s="7"/>
      <c r="E10" s="8" t="str">
        <f aca="false">"₩ "&amp;TEXT(G48,"#,##0")</f>
        <v>₩ 441,900,000</v>
      </c>
      <c r="F10" s="8"/>
      <c r="G10" s="8"/>
      <c r="H10" s="8"/>
      <c r="I10" s="8"/>
    </row>
    <row r="11" customFormat="false" ht="24" hidden="false" customHeight="true" outlineLevel="0" collapsed="false">
      <c r="A11" s="7" t="s">
        <v>24</v>
      </c>
      <c r="B11" s="7"/>
      <c r="C11" s="7"/>
      <c r="D11" s="7"/>
      <c r="E11" s="8" t="str">
        <f aca="false">"₩ "&amp;TEXT(H48,"#,##0")</f>
        <v>₩ 441,900,000</v>
      </c>
      <c r="F11" s="8"/>
      <c r="G11" s="8"/>
      <c r="H11" s="8"/>
      <c r="I11" s="8"/>
    </row>
    <row r="13" customFormat="false" ht="21.75" hidden="false" customHeight="true" outlineLevel="0" collapsed="false">
      <c r="A13" s="9" t="s">
        <v>25</v>
      </c>
      <c r="B13" s="9"/>
      <c r="C13" s="9"/>
      <c r="D13" s="9"/>
      <c r="E13" s="9"/>
      <c r="F13" s="9"/>
      <c r="G13" s="9"/>
      <c r="H13" s="9"/>
      <c r="I13" s="9"/>
    </row>
    <row r="14" customFormat="false" ht="15" hidden="false" customHeight="false" outlineLevel="0" collapsed="false">
      <c r="A14" s="10" t="s">
        <v>26</v>
      </c>
      <c r="B14" s="11" t="s">
        <v>27</v>
      </c>
      <c r="C14" s="11" t="s">
        <v>28</v>
      </c>
      <c r="D14" s="11" t="s">
        <v>29</v>
      </c>
      <c r="E14" s="11" t="s">
        <v>30</v>
      </c>
      <c r="F14" s="11" t="s">
        <v>31</v>
      </c>
      <c r="G14" s="11" t="s">
        <v>32</v>
      </c>
      <c r="H14" s="11" t="s">
        <v>33</v>
      </c>
      <c r="I14" s="11" t="s">
        <v>34</v>
      </c>
    </row>
    <row r="15" customFormat="false" ht="19.5" hidden="false" customHeight="true" outlineLevel="0" collapsed="false">
      <c r="A15" s="12" t="n">
        <v>1</v>
      </c>
      <c r="B15" s="13" t="s">
        <v>35</v>
      </c>
      <c r="C15" s="14" t="s">
        <v>36</v>
      </c>
      <c r="D15" s="15" t="s">
        <v>37</v>
      </c>
      <c r="E15" s="12" t="s">
        <v>38</v>
      </c>
      <c r="F15" s="12" t="n">
        <v>1</v>
      </c>
      <c r="G15" s="16" t="n">
        <v>494000</v>
      </c>
      <c r="H15" s="16" t="n">
        <f aca="false">F15*G15</f>
        <v>494000</v>
      </c>
      <c r="I15" s="17"/>
    </row>
    <row r="16" customFormat="false" ht="19.5" hidden="false" customHeight="true" outlineLevel="0" collapsed="false">
      <c r="A16" s="18" t="s">
        <v>39</v>
      </c>
      <c r="B16" s="18"/>
      <c r="C16" s="18"/>
      <c r="D16" s="18"/>
      <c r="E16" s="18"/>
      <c r="F16" s="18"/>
      <c r="G16" s="18"/>
      <c r="H16" s="19" t="n">
        <f aca="false">SUM(H15:H15)</f>
        <v>494000</v>
      </c>
      <c r="I16" s="20"/>
    </row>
    <row r="17" customFormat="false" ht="19.5" hidden="false" customHeight="true" outlineLevel="0" collapsed="false">
      <c r="A17" s="12" t="n">
        <v>2</v>
      </c>
      <c r="B17" s="13" t="s">
        <v>40</v>
      </c>
      <c r="C17" s="14" t="s">
        <v>41</v>
      </c>
      <c r="D17" s="15" t="s">
        <v>42</v>
      </c>
      <c r="E17" s="12" t="s">
        <v>38</v>
      </c>
      <c r="F17" s="12" t="n">
        <v>1</v>
      </c>
      <c r="G17" s="16" t="n">
        <v>646000</v>
      </c>
      <c r="H17" s="16" t="n">
        <f aca="false">F17*G17</f>
        <v>646000</v>
      </c>
      <c r="I17" s="17"/>
    </row>
    <row r="18" customFormat="false" ht="19.5" hidden="false" customHeight="true" outlineLevel="0" collapsed="false">
      <c r="A18" s="18" t="s">
        <v>43</v>
      </c>
      <c r="B18" s="18"/>
      <c r="C18" s="18"/>
      <c r="D18" s="18"/>
      <c r="E18" s="18"/>
      <c r="F18" s="18"/>
      <c r="G18" s="18"/>
      <c r="H18" s="19" t="n">
        <f aca="false">SUM(H17:H17)</f>
        <v>646000</v>
      </c>
      <c r="I18" s="20"/>
    </row>
    <row r="19" customFormat="false" ht="19.5" hidden="false" customHeight="true" outlineLevel="0" collapsed="false">
      <c r="A19" s="12" t="n">
        <v>3</v>
      </c>
      <c r="B19" s="13" t="s">
        <v>44</v>
      </c>
      <c r="C19" s="14" t="s">
        <v>36</v>
      </c>
      <c r="D19" s="15" t="s">
        <v>37</v>
      </c>
      <c r="E19" s="12" t="s">
        <v>38</v>
      </c>
      <c r="F19" s="12" t="n">
        <v>1</v>
      </c>
      <c r="G19" s="16" t="n">
        <v>494000</v>
      </c>
      <c r="H19" s="16" t="n">
        <f aca="false">F19*G19</f>
        <v>494000</v>
      </c>
      <c r="I19" s="17"/>
    </row>
    <row r="20" customFormat="false" ht="19.5" hidden="false" customHeight="true" outlineLevel="0" collapsed="false">
      <c r="A20" s="12" t="n">
        <v>4</v>
      </c>
      <c r="B20" s="13"/>
      <c r="C20" s="14" t="s">
        <v>45</v>
      </c>
      <c r="D20" s="15" t="s">
        <v>46</v>
      </c>
      <c r="E20" s="12" t="s">
        <v>38</v>
      </c>
      <c r="F20" s="12" t="n">
        <v>1</v>
      </c>
      <c r="G20" s="16" t="n">
        <v>152000</v>
      </c>
      <c r="H20" s="16" t="n">
        <f aca="false">F20*G20</f>
        <v>152000</v>
      </c>
      <c r="I20" s="17"/>
    </row>
    <row r="21" customFormat="false" ht="19.5" hidden="false" customHeight="true" outlineLevel="0" collapsed="false">
      <c r="A21" s="18" t="s">
        <v>47</v>
      </c>
      <c r="B21" s="18"/>
      <c r="C21" s="18"/>
      <c r="D21" s="18"/>
      <c r="E21" s="18"/>
      <c r="F21" s="18"/>
      <c r="G21" s="18"/>
      <c r="H21" s="19" t="n">
        <f aca="false">SUM(H19:H20)</f>
        <v>646000</v>
      </c>
      <c r="I21" s="20"/>
    </row>
    <row r="22" customFormat="false" ht="19.5" hidden="false" customHeight="true" outlineLevel="0" collapsed="false">
      <c r="A22" s="12" t="n">
        <v>5</v>
      </c>
      <c r="B22" s="13" t="s">
        <v>48</v>
      </c>
      <c r="C22" s="14" t="s">
        <v>49</v>
      </c>
      <c r="D22" s="15" t="s">
        <v>50</v>
      </c>
      <c r="E22" s="12" t="s">
        <v>38</v>
      </c>
      <c r="F22" s="12" t="n">
        <v>1</v>
      </c>
      <c r="G22" s="16" t="n">
        <v>350800</v>
      </c>
      <c r="H22" s="16" t="n">
        <f aca="false">F22*G22</f>
        <v>350800</v>
      </c>
      <c r="I22" s="17"/>
    </row>
    <row r="23" customFormat="false" ht="19.5" hidden="false" customHeight="true" outlineLevel="0" collapsed="false">
      <c r="A23" s="12" t="n">
        <v>6</v>
      </c>
      <c r="B23" s="13"/>
      <c r="C23" s="14" t="s">
        <v>51</v>
      </c>
      <c r="D23" s="15" t="s">
        <v>52</v>
      </c>
      <c r="E23" s="12" t="s">
        <v>38</v>
      </c>
      <c r="F23" s="12" t="n">
        <v>5</v>
      </c>
      <c r="G23" s="16" t="n">
        <v>76100</v>
      </c>
      <c r="H23" s="16" t="n">
        <f aca="false">F23*G23</f>
        <v>380500</v>
      </c>
      <c r="I23" s="17"/>
    </row>
    <row r="24" customFormat="false" ht="19.5" hidden="false" customHeight="true" outlineLevel="0" collapsed="false">
      <c r="A24" s="12" t="n">
        <v>7</v>
      </c>
      <c r="B24" s="13"/>
      <c r="C24" s="14" t="s">
        <v>53</v>
      </c>
      <c r="D24" s="15" t="s">
        <v>54</v>
      </c>
      <c r="E24" s="12" t="s">
        <v>38</v>
      </c>
      <c r="F24" s="12" t="n">
        <v>2</v>
      </c>
      <c r="G24" s="16" t="n">
        <v>75800</v>
      </c>
      <c r="H24" s="16" t="n">
        <f aca="false">F24*G24</f>
        <v>151600</v>
      </c>
      <c r="I24" s="17"/>
    </row>
    <row r="25" customFormat="false" ht="19.5" hidden="false" customHeight="true" outlineLevel="0" collapsed="false">
      <c r="A25" s="12" t="n">
        <v>8</v>
      </c>
      <c r="B25" s="13"/>
      <c r="C25" s="14" t="s">
        <v>55</v>
      </c>
      <c r="D25" s="15" t="s">
        <v>56</v>
      </c>
      <c r="E25" s="12" t="s">
        <v>38</v>
      </c>
      <c r="F25" s="12" t="n">
        <v>1</v>
      </c>
      <c r="G25" s="16" t="n">
        <v>56100</v>
      </c>
      <c r="H25" s="16" t="n">
        <f aca="false">F25*G25</f>
        <v>56100</v>
      </c>
      <c r="I25" s="17"/>
    </row>
    <row r="26" customFormat="false" ht="19.5" hidden="false" customHeight="true" outlineLevel="0" collapsed="false">
      <c r="A26" s="12" t="n">
        <v>9</v>
      </c>
      <c r="B26" s="13"/>
      <c r="C26" s="14" t="s">
        <v>57</v>
      </c>
      <c r="D26" s="15" t="s">
        <v>58</v>
      </c>
      <c r="E26" s="12" t="s">
        <v>38</v>
      </c>
      <c r="F26" s="12" t="n">
        <v>1</v>
      </c>
      <c r="G26" s="16" t="n">
        <v>117200</v>
      </c>
      <c r="H26" s="16" t="n">
        <f aca="false">F26*G26</f>
        <v>117200</v>
      </c>
      <c r="I26" s="17"/>
    </row>
    <row r="27" customFormat="false" ht="19.5" hidden="false" customHeight="true" outlineLevel="0" collapsed="false">
      <c r="A27" s="12" t="n">
        <v>10</v>
      </c>
      <c r="B27" s="13"/>
      <c r="C27" s="14" t="s">
        <v>59</v>
      </c>
      <c r="D27" s="15" t="s">
        <v>60</v>
      </c>
      <c r="E27" s="12" t="s">
        <v>38</v>
      </c>
      <c r="F27" s="12" t="n">
        <v>1</v>
      </c>
      <c r="G27" s="16" t="n">
        <v>52100</v>
      </c>
      <c r="H27" s="16" t="n">
        <f aca="false">F27*G27</f>
        <v>52100</v>
      </c>
      <c r="I27" s="17"/>
    </row>
    <row r="28" customFormat="false" ht="19.5" hidden="false" customHeight="true" outlineLevel="0" collapsed="false">
      <c r="A28" s="12" t="n">
        <v>11</v>
      </c>
      <c r="B28" s="13"/>
      <c r="C28" s="14" t="s">
        <v>61</v>
      </c>
      <c r="D28" s="15" t="s">
        <v>62</v>
      </c>
      <c r="E28" s="12" t="s">
        <v>38</v>
      </c>
      <c r="F28" s="12" t="n">
        <v>1</v>
      </c>
      <c r="G28" s="16" t="n">
        <v>61700</v>
      </c>
      <c r="H28" s="16" t="n">
        <f aca="false">F28*G28</f>
        <v>61700</v>
      </c>
      <c r="I28" s="17"/>
    </row>
    <row r="29" customFormat="false" ht="19.5" hidden="false" customHeight="true" outlineLevel="0" collapsed="false">
      <c r="A29" s="18" t="s">
        <v>63</v>
      </c>
      <c r="B29" s="18"/>
      <c r="C29" s="18"/>
      <c r="D29" s="18"/>
      <c r="E29" s="18"/>
      <c r="F29" s="18"/>
      <c r="G29" s="18"/>
      <c r="H29" s="19" t="n">
        <f aca="false">SUM(H22:H28)</f>
        <v>1170000</v>
      </c>
      <c r="I29" s="20"/>
    </row>
    <row r="31" customFormat="false" ht="21.75" hidden="false" customHeight="true" outlineLevel="0" collapsed="false">
      <c r="A31" s="9" t="s">
        <v>64</v>
      </c>
      <c r="B31" s="9"/>
      <c r="C31" s="9"/>
      <c r="D31" s="9"/>
      <c r="E31" s="9"/>
      <c r="F31" s="9"/>
      <c r="G31" s="9"/>
      <c r="H31" s="9"/>
      <c r="I31" s="9"/>
    </row>
    <row r="32" customFormat="false" ht="15" hidden="false" customHeight="false" outlineLevel="0" collapsed="false">
      <c r="A32" s="10" t="s">
        <v>26</v>
      </c>
      <c r="B32" s="11" t="s">
        <v>27</v>
      </c>
      <c r="C32" s="11" t="s">
        <v>28</v>
      </c>
      <c r="D32" s="11" t="s">
        <v>29</v>
      </c>
      <c r="E32" s="11" t="s">
        <v>30</v>
      </c>
      <c r="F32" s="11" t="s">
        <v>31</v>
      </c>
      <c r="G32" s="11" t="s">
        <v>32</v>
      </c>
      <c r="H32" s="11" t="s">
        <v>33</v>
      </c>
      <c r="I32" s="11" t="s">
        <v>34</v>
      </c>
    </row>
    <row r="33" customFormat="false" ht="19.5" hidden="false" customHeight="true" outlineLevel="0" collapsed="false">
      <c r="A33" s="12" t="n">
        <v>1</v>
      </c>
      <c r="B33" s="13" t="s">
        <v>35</v>
      </c>
      <c r="C33" s="14" t="s">
        <v>65</v>
      </c>
      <c r="D33" s="15" t="s">
        <v>66</v>
      </c>
      <c r="E33" s="12" t="s">
        <v>38</v>
      </c>
      <c r="F33" s="12" t="n">
        <v>1</v>
      </c>
      <c r="G33" s="16" t="n">
        <v>494000</v>
      </c>
      <c r="H33" s="16" t="n">
        <f aca="false">F33*G33</f>
        <v>494000</v>
      </c>
      <c r="I33" s="17"/>
    </row>
    <row r="34" customFormat="false" ht="19.5" hidden="false" customHeight="true" outlineLevel="0" collapsed="false">
      <c r="A34" s="18" t="s">
        <v>67</v>
      </c>
      <c r="B34" s="18"/>
      <c r="C34" s="18"/>
      <c r="D34" s="18"/>
      <c r="E34" s="18"/>
      <c r="F34" s="18"/>
      <c r="G34" s="18"/>
      <c r="H34" s="19" t="n">
        <f aca="false">SUM(H33:H33)</f>
        <v>494000</v>
      </c>
      <c r="I34" s="20"/>
    </row>
    <row r="35" customFormat="false" ht="19.5" hidden="false" customHeight="true" outlineLevel="0" collapsed="false">
      <c r="A35" s="12" t="n">
        <v>2</v>
      </c>
      <c r="B35" s="13" t="s">
        <v>40</v>
      </c>
      <c r="C35" s="14" t="s">
        <v>68</v>
      </c>
      <c r="D35" s="15" t="s">
        <v>69</v>
      </c>
      <c r="E35" s="12" t="s">
        <v>38</v>
      </c>
      <c r="F35" s="12" t="n">
        <v>1</v>
      </c>
      <c r="G35" s="16" t="n">
        <v>646000</v>
      </c>
      <c r="H35" s="16" t="n">
        <f aca="false">F35*G35</f>
        <v>646000</v>
      </c>
      <c r="I35" s="17"/>
    </row>
    <row r="36" customFormat="false" ht="19.5" hidden="false" customHeight="true" outlineLevel="0" collapsed="false">
      <c r="A36" s="18" t="s">
        <v>70</v>
      </c>
      <c r="B36" s="18"/>
      <c r="C36" s="18"/>
      <c r="D36" s="18"/>
      <c r="E36" s="18"/>
      <c r="F36" s="18"/>
      <c r="G36" s="18"/>
      <c r="H36" s="19" t="n">
        <f aca="false">SUM(H35:H35)</f>
        <v>646000</v>
      </c>
      <c r="I36" s="20"/>
    </row>
    <row r="37" customFormat="false" ht="19.5" hidden="false" customHeight="true" outlineLevel="0" collapsed="false">
      <c r="A37" s="12" t="n">
        <v>3</v>
      </c>
      <c r="B37" s="13" t="s">
        <v>44</v>
      </c>
      <c r="C37" s="14" t="s">
        <v>65</v>
      </c>
      <c r="D37" s="15" t="s">
        <v>66</v>
      </c>
      <c r="E37" s="12" t="s">
        <v>38</v>
      </c>
      <c r="F37" s="12" t="n">
        <v>1</v>
      </c>
      <c r="G37" s="16" t="n">
        <v>494000</v>
      </c>
      <c r="H37" s="16" t="n">
        <f aca="false">F37*G37</f>
        <v>494000</v>
      </c>
      <c r="I37" s="17"/>
    </row>
    <row r="38" customFormat="false" ht="19.5" hidden="false" customHeight="true" outlineLevel="0" collapsed="false">
      <c r="A38" s="12" t="n">
        <v>4</v>
      </c>
      <c r="B38" s="13"/>
      <c r="C38" s="14" t="s">
        <v>45</v>
      </c>
      <c r="D38" s="15" t="s">
        <v>46</v>
      </c>
      <c r="E38" s="12" t="s">
        <v>38</v>
      </c>
      <c r="F38" s="12" t="n">
        <v>1</v>
      </c>
      <c r="G38" s="16" t="n">
        <v>152000</v>
      </c>
      <c r="H38" s="16" t="n">
        <f aca="false">F38*G38</f>
        <v>152000</v>
      </c>
      <c r="I38" s="17"/>
    </row>
    <row r="39" customFormat="false" ht="19.5" hidden="false" customHeight="true" outlineLevel="0" collapsed="false">
      <c r="A39" s="18" t="s">
        <v>71</v>
      </c>
      <c r="B39" s="18"/>
      <c r="C39" s="18"/>
      <c r="D39" s="18"/>
      <c r="E39" s="18"/>
      <c r="F39" s="18"/>
      <c r="G39" s="18"/>
      <c r="H39" s="19" t="n">
        <f aca="false">SUM(H37:H38)</f>
        <v>646000</v>
      </c>
      <c r="I39" s="20"/>
    </row>
    <row r="40" customFormat="false" ht="15" hidden="false" customHeight="true" outlineLevel="0" collapsed="false">
      <c r="A40" s="21" t="s">
        <v>72</v>
      </c>
      <c r="B40" s="21"/>
      <c r="C40" s="21"/>
      <c r="D40" s="21"/>
      <c r="E40" s="21"/>
      <c r="F40" s="21"/>
      <c r="G40" s="21"/>
      <c r="H40" s="21"/>
      <c r="I40" s="21"/>
    </row>
    <row r="42" customFormat="false" ht="15" hidden="false" customHeight="true" outlineLevel="0" collapsed="false">
      <c r="A42" s="9" t="s">
        <v>73</v>
      </c>
      <c r="B42" s="9"/>
      <c r="C42" s="9"/>
      <c r="D42" s="9"/>
      <c r="E42" s="9"/>
      <c r="F42" s="9"/>
      <c r="G42" s="9"/>
      <c r="H42" s="9"/>
      <c r="I42" s="9"/>
    </row>
    <row r="43" customFormat="false" ht="15" hidden="false" customHeight="true" outlineLevel="0" collapsed="false">
      <c r="A43" s="11" t="s">
        <v>27</v>
      </c>
      <c r="B43" s="11"/>
      <c r="C43" s="10" t="s">
        <v>74</v>
      </c>
      <c r="D43" s="10" t="s">
        <v>75</v>
      </c>
      <c r="E43" s="10"/>
      <c r="F43" s="11" t="s">
        <v>76</v>
      </c>
      <c r="G43" s="11" t="s">
        <v>77</v>
      </c>
      <c r="H43" s="11" t="s">
        <v>78</v>
      </c>
      <c r="I43" s="11"/>
    </row>
    <row r="44" customFormat="false" ht="15" hidden="false" customHeight="true" outlineLevel="0" collapsed="false">
      <c r="A44" s="13" t="s">
        <v>35</v>
      </c>
      <c r="B44" s="13"/>
      <c r="C44" s="16" t="n">
        <f aca="false">H16</f>
        <v>494000</v>
      </c>
      <c r="D44" s="16" t="n">
        <f aca="false">H34</f>
        <v>494000</v>
      </c>
      <c r="E44" s="16"/>
      <c r="F44" s="22" t="n">
        <v>200</v>
      </c>
      <c r="G44" s="16" t="n">
        <f aca="false">C44*F44</f>
        <v>98800000</v>
      </c>
      <c r="H44" s="16" t="n">
        <f aca="false">D44*F44</f>
        <v>98800000</v>
      </c>
      <c r="I44" s="23"/>
    </row>
    <row r="45" customFormat="false" ht="15" hidden="false" customHeight="true" outlineLevel="0" collapsed="false">
      <c r="A45" s="13" t="s">
        <v>40</v>
      </c>
      <c r="B45" s="13"/>
      <c r="C45" s="16" t="n">
        <f aca="false">H18</f>
        <v>646000</v>
      </c>
      <c r="D45" s="16" t="n">
        <f aca="false">H36</f>
        <v>646000</v>
      </c>
      <c r="E45" s="16"/>
      <c r="F45" s="22" t="n">
        <v>300</v>
      </c>
      <c r="G45" s="16" t="n">
        <f aca="false">C45*F45</f>
        <v>193800000</v>
      </c>
      <c r="H45" s="16" t="n">
        <f aca="false">D45*F45</f>
        <v>193800000</v>
      </c>
      <c r="I45" s="23"/>
    </row>
    <row r="46" customFormat="false" ht="15" hidden="false" customHeight="true" outlineLevel="0" collapsed="false">
      <c r="A46" s="13" t="s">
        <v>44</v>
      </c>
      <c r="B46" s="13"/>
      <c r="C46" s="16" t="n">
        <f aca="false">H21</f>
        <v>646000</v>
      </c>
      <c r="D46" s="16" t="n">
        <f aca="false">H39</f>
        <v>646000</v>
      </c>
      <c r="E46" s="16"/>
      <c r="F46" s="22" t="n">
        <v>50</v>
      </c>
      <c r="G46" s="16" t="n">
        <f aca="false">C46*F46</f>
        <v>32300000</v>
      </c>
      <c r="H46" s="16" t="n">
        <f aca="false">D46*F46</f>
        <v>32300000</v>
      </c>
      <c r="I46" s="23"/>
    </row>
    <row r="47" customFormat="false" ht="15" hidden="false" customHeight="true" outlineLevel="0" collapsed="false">
      <c r="A47" s="13" t="s">
        <v>48</v>
      </c>
      <c r="B47" s="13"/>
      <c r="C47" s="16" t="n">
        <f aca="false">H29</f>
        <v>1170000</v>
      </c>
      <c r="D47" s="16" t="n">
        <f aca="false">H29</f>
        <v>1170000</v>
      </c>
      <c r="E47" s="16"/>
      <c r="F47" s="22" t="n">
        <v>100</v>
      </c>
      <c r="G47" s="16" t="n">
        <f aca="false">C47*F47</f>
        <v>117000000</v>
      </c>
      <c r="H47" s="16" t="n">
        <f aca="false">D47*F47</f>
        <v>117000000</v>
      </c>
      <c r="I47" s="23" t="s">
        <v>79</v>
      </c>
    </row>
    <row r="48" customFormat="false" ht="15" hidden="false" customHeight="true" outlineLevel="0" collapsed="false">
      <c r="A48" s="7" t="s">
        <v>80</v>
      </c>
      <c r="B48" s="7"/>
      <c r="C48" s="7"/>
      <c r="D48" s="7"/>
      <c r="E48" s="7"/>
      <c r="F48" s="7"/>
      <c r="G48" s="24" t="n">
        <f aca="false">SUM(G44:G47)</f>
        <v>441900000</v>
      </c>
      <c r="H48" s="24" t="n">
        <f aca="false">SUM(H44:H47)</f>
        <v>441900000</v>
      </c>
      <c r="I48" s="25"/>
    </row>
    <row r="50" customFormat="false" ht="15" hidden="false" customHeight="false" outlineLevel="0" collapsed="false">
      <c r="A50" s="26" t="s">
        <v>81</v>
      </c>
    </row>
    <row r="51" customFormat="false" ht="18" hidden="false" customHeight="true" outlineLevel="0" collapsed="false">
      <c r="A51" s="27" t="s">
        <v>82</v>
      </c>
      <c r="B51" s="27"/>
      <c r="C51" s="27"/>
      <c r="D51" s="27"/>
      <c r="E51" s="27"/>
      <c r="F51" s="27"/>
      <c r="G51" s="27"/>
      <c r="H51" s="27"/>
      <c r="I51" s="27"/>
    </row>
    <row r="52" customFormat="false" ht="18" hidden="false" customHeight="true" outlineLevel="0" collapsed="false">
      <c r="A52" s="27" t="s">
        <v>83</v>
      </c>
      <c r="B52" s="27"/>
      <c r="C52" s="27"/>
      <c r="D52" s="27"/>
      <c r="E52" s="27"/>
      <c r="F52" s="27"/>
      <c r="G52" s="27"/>
      <c r="H52" s="27"/>
      <c r="I52" s="27"/>
    </row>
    <row r="53" customFormat="false" ht="18" hidden="false" customHeight="true" outlineLevel="0" collapsed="false">
      <c r="A53" s="27" t="s">
        <v>84</v>
      </c>
      <c r="B53" s="27"/>
      <c r="C53" s="27"/>
      <c r="D53" s="27"/>
      <c r="E53" s="27"/>
      <c r="F53" s="27"/>
      <c r="G53" s="27"/>
      <c r="H53" s="27"/>
      <c r="I53" s="27"/>
    </row>
    <row r="54" customFormat="false" ht="18" hidden="false" customHeight="true" outlineLevel="0" collapsed="false">
      <c r="A54" s="27" t="s">
        <v>85</v>
      </c>
      <c r="B54" s="27"/>
      <c r="C54" s="27"/>
      <c r="D54" s="27"/>
      <c r="E54" s="27"/>
      <c r="F54" s="27"/>
      <c r="G54" s="27"/>
      <c r="H54" s="27"/>
      <c r="I54" s="27"/>
    </row>
    <row r="55" customFormat="false" ht="18" hidden="false" customHeight="true" outlineLevel="0" collapsed="false">
      <c r="A55" s="27" t="s">
        <v>86</v>
      </c>
      <c r="B55" s="27"/>
      <c r="C55" s="27"/>
      <c r="D55" s="27"/>
      <c r="E55" s="27"/>
      <c r="F55" s="27"/>
      <c r="G55" s="27"/>
      <c r="H55" s="27"/>
      <c r="I55" s="27"/>
    </row>
    <row r="56" customFormat="false" ht="18" hidden="false" customHeight="true" outlineLevel="0" collapsed="false">
      <c r="A56" s="28" t="s">
        <v>87</v>
      </c>
      <c r="B56" s="28"/>
      <c r="C56" s="28"/>
      <c r="D56" s="28"/>
      <c r="E56" s="28"/>
      <c r="F56" s="28"/>
      <c r="G56" s="28"/>
      <c r="H56" s="28"/>
      <c r="I56" s="28"/>
    </row>
  </sheetData>
  <mergeCells count="52">
    <mergeCell ref="A1:I1"/>
    <mergeCell ref="A3:B3"/>
    <mergeCell ref="C3:D3"/>
    <mergeCell ref="E3:E7"/>
    <mergeCell ref="G3:I3"/>
    <mergeCell ref="A4:B4"/>
    <mergeCell ref="C4:D4"/>
    <mergeCell ref="G4:I4"/>
    <mergeCell ref="A5:B5"/>
    <mergeCell ref="C5:D5"/>
    <mergeCell ref="G5:I5"/>
    <mergeCell ref="A6:B6"/>
    <mergeCell ref="C6:D6"/>
    <mergeCell ref="G6:I6"/>
    <mergeCell ref="A7:B7"/>
    <mergeCell ref="C7:D7"/>
    <mergeCell ref="G7:I7"/>
    <mergeCell ref="A10:D10"/>
    <mergeCell ref="E10:I10"/>
    <mergeCell ref="A11:D11"/>
    <mergeCell ref="E11:I11"/>
    <mergeCell ref="A13:I13"/>
    <mergeCell ref="A16:G16"/>
    <mergeCell ref="A18:G18"/>
    <mergeCell ref="B19:B20"/>
    <mergeCell ref="A21:G21"/>
    <mergeCell ref="B22:B28"/>
    <mergeCell ref="A29:G29"/>
    <mergeCell ref="A31:I31"/>
    <mergeCell ref="A34:G34"/>
    <mergeCell ref="A36:G36"/>
    <mergeCell ref="B37:B38"/>
    <mergeCell ref="A39:G39"/>
    <mergeCell ref="A40:I40"/>
    <mergeCell ref="A42:I42"/>
    <mergeCell ref="A43:B43"/>
    <mergeCell ref="D43:E43"/>
    <mergeCell ref="A44:B44"/>
    <mergeCell ref="D44:E44"/>
    <mergeCell ref="A45:B45"/>
    <mergeCell ref="D45:E45"/>
    <mergeCell ref="A46:B46"/>
    <mergeCell ref="D46:E46"/>
    <mergeCell ref="A47:B47"/>
    <mergeCell ref="D47:E47"/>
    <mergeCell ref="A48:F48"/>
    <mergeCell ref="A51:I51"/>
    <mergeCell ref="A52:I52"/>
    <mergeCell ref="A53:I53"/>
    <mergeCell ref="A54:I54"/>
    <mergeCell ref="A55:I55"/>
    <mergeCell ref="A56:I56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2026-10-06T04:11:43Z</dcterms:created>
  <dc:creator>openpyxl</dc:creator>
  <dc:description/>
  <dc:language>en-US</dc:language>
  <cp:lastModifiedBy/>
  <dcterms:modified xsi:type="dcterms:W3CDTF">2026-10-06T04:11:43Z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