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세부 구성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<sst xmlns="http://schemas.openxmlformats.org/spreadsheetml/2006/main" count="163" uniqueCount="92">
  <si>
    <t xml:space="preserve">견   적   서</t>
  </si>
  <si>
    <t xml:space="preserve">견적번호</t>
  </si>
  <si>
    <t xml:space="preserve">[        ]</t>
  </si>
  <si>
    <t xml:space="preserve">공
급
자</t>
  </si>
  <si>
    <t xml:space="preserve">상호</t>
  </si>
  <si>
    <r>
      <rPr>
        <sz val="9"/>
        <color rgb="FF0000FF"/>
        <rFont val="맑은 고딕"/>
        <family val="0"/>
        <charset val="1"/>
      </rPr>
      <t xml:space="preserve">[</t>
    </r>
    <r>
      <rPr>
        <sz val="9"/>
        <color rgb="FF0000FF"/>
        <rFont val="WenQuanYi Zen Hei"/>
        <family val="2"/>
      </rPr>
      <t xml:space="preserve">회사명</t>
    </r>
    <r>
      <rPr>
        <sz val="9"/>
        <color rgb="FF0000FF"/>
        <rFont val="맑은 고딕"/>
        <family val="0"/>
        <charset val="1"/>
      </rPr>
      <t xml:space="preserve">]</t>
    </r>
  </si>
  <si>
    <t xml:space="preserve">견적일자</t>
  </si>
  <si>
    <r>
      <rPr>
        <sz val="9"/>
        <color rgb="FF000000"/>
        <rFont val="맑은 고딕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년 </t>
    </r>
    <r>
      <rPr>
        <sz val="9"/>
        <color rgb="FF000000"/>
        <rFont val="맑은 고딕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월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일</t>
    </r>
  </si>
  <si>
    <t xml:space="preserve">대표자</t>
  </si>
  <si>
    <r>
      <rPr>
        <sz val="9"/>
        <color rgb="FF0000FF"/>
        <rFont val="맑은 고딕"/>
        <family val="0"/>
        <charset val="1"/>
      </rPr>
      <t xml:space="preserve">[</t>
    </r>
    <r>
      <rPr>
        <sz val="9"/>
        <color rgb="FF0000FF"/>
        <rFont val="WenQuanYi Zen Hei"/>
        <family val="2"/>
      </rPr>
      <t xml:space="preserve">대표자</t>
    </r>
    <r>
      <rPr>
        <sz val="9"/>
        <color rgb="FF0000FF"/>
        <rFont val="맑은 고딕"/>
        <family val="0"/>
        <charset val="1"/>
      </rPr>
      <t xml:space="preserve">]      (</t>
    </r>
    <r>
      <rPr>
        <sz val="9"/>
        <color rgb="FF0000FF"/>
        <rFont val="WenQuanYi Zen Hei"/>
        <family val="2"/>
      </rPr>
      <t xml:space="preserve">인</t>
    </r>
    <r>
      <rPr>
        <sz val="9"/>
        <color rgb="FF0000FF"/>
        <rFont val="맑은 고딕"/>
        <family val="0"/>
        <charset val="1"/>
      </rPr>
      <t xml:space="preserve">)</t>
    </r>
  </si>
  <si>
    <t xml:space="preserve">수    신</t>
  </si>
  <si>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주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테크로스 전략구매팀 귀하</t>
    </r>
  </si>
  <si>
    <t xml:space="preserve">사업자번호</t>
  </si>
  <si>
    <t xml:space="preserve">[   -  -     ]</t>
  </si>
  <si>
    <t xml:space="preserve">건    명</t>
  </si>
  <si>
    <r>
      <rPr>
        <sz val="9"/>
        <color rgb="FF000000"/>
        <rFont val="맑은 고딕"/>
        <family val="0"/>
        <charset val="1"/>
      </rPr>
      <t xml:space="preserve">PLC </t>
    </r>
    <r>
      <rPr>
        <sz val="9"/>
        <color rgb="FF000000"/>
        <rFont val="WenQuanYi Zen Hei"/>
        <family val="2"/>
      </rPr>
      <t xml:space="preserve">교체 </t>
    </r>
    <r>
      <rPr>
        <sz val="9"/>
        <color rgb="FF000000"/>
        <rFont val="맑은 고딕"/>
        <family val="0"/>
        <charset val="1"/>
      </rPr>
      <t xml:space="preserve">(TSU · ANU · ANU-S · MCC) </t>
    </r>
    <r>
      <rPr>
        <sz val="9"/>
        <color rgb="FF000000"/>
        <rFont val="WenQuanYi Zen Hei"/>
        <family val="2"/>
      </rPr>
      <t xml:space="preserve">견적</t>
    </r>
  </si>
  <si>
    <t xml:space="preserve">주소</t>
  </si>
  <si>
    <r>
      <rPr>
        <sz val="9"/>
        <color rgb="FF0000FF"/>
        <rFont val="맑은 고딕"/>
        <family val="0"/>
        <charset val="1"/>
      </rPr>
      <t xml:space="preserve">[</t>
    </r>
    <r>
      <rPr>
        <sz val="9"/>
        <color rgb="FF0000FF"/>
        <rFont val="WenQuanYi Zen Hei"/>
        <family val="2"/>
      </rPr>
      <t xml:space="preserve">주소</t>
    </r>
    <r>
      <rPr>
        <sz val="9"/>
        <color rgb="FF0000FF"/>
        <rFont val="맑은 고딕"/>
        <family val="0"/>
        <charset val="1"/>
      </rPr>
      <t xml:space="preserve">]</t>
    </r>
  </si>
  <si>
    <t xml:space="preserve">유효기간</t>
  </si>
  <si>
    <r>
      <rPr>
        <sz val="9"/>
        <color rgb="FF0000FF"/>
        <rFont val="맑은 고딕"/>
        <family val="0"/>
        <charset val="1"/>
      </rPr>
      <t xml:space="preserve">[</t>
    </r>
    <r>
      <rPr>
        <sz val="9"/>
        <color rgb="FF0000FF"/>
        <rFont val="WenQuanYi Zen Hei"/>
        <family val="2"/>
      </rPr>
      <t xml:space="preserve">견적일로부터    일</t>
    </r>
    <r>
      <rPr>
        <sz val="9"/>
        <color rgb="FF0000FF"/>
        <rFont val="맑은 고딕"/>
        <family val="0"/>
        <charset val="1"/>
      </rPr>
      <t xml:space="preserve">]</t>
    </r>
  </si>
  <si>
    <r>
      <rPr>
        <b val="true"/>
        <sz val="9"/>
        <color rgb="FF000000"/>
        <rFont val="WenQuanYi Zen Hei"/>
        <family val="2"/>
      </rPr>
      <t xml:space="preserve">담당 </t>
    </r>
    <r>
      <rPr>
        <b val="true"/>
        <sz val="9"/>
        <color rgb="FF000000"/>
        <rFont val="맑은 고딕"/>
        <family val="0"/>
        <charset val="1"/>
      </rPr>
      <t xml:space="preserve">/ </t>
    </r>
    <r>
      <rPr>
        <b val="true"/>
        <sz val="9"/>
        <color rgb="FF000000"/>
        <rFont val="WenQuanYi Zen Hei"/>
        <family val="2"/>
      </rPr>
      <t xml:space="preserve">연락처</t>
    </r>
  </si>
  <si>
    <r>
      <rPr>
        <sz val="9"/>
        <color rgb="FF0000FF"/>
        <rFont val="맑은 고딕"/>
        <family val="0"/>
        <charset val="1"/>
      </rPr>
      <t xml:space="preserve">[</t>
    </r>
    <r>
      <rPr>
        <sz val="9"/>
        <color rgb="FF0000FF"/>
        <rFont val="WenQuanYi Zen Hei"/>
        <family val="2"/>
      </rPr>
      <t xml:space="preserve">담당자</t>
    </r>
    <r>
      <rPr>
        <sz val="9"/>
        <color rgb="FF0000FF"/>
        <rFont val="맑은 고딕"/>
        <family val="0"/>
        <charset val="1"/>
      </rPr>
      <t xml:space="preserve">] / [</t>
    </r>
    <r>
      <rPr>
        <sz val="9"/>
        <color rgb="FF0000FF"/>
        <rFont val="WenQuanYi Zen Hei"/>
        <family val="2"/>
      </rPr>
      <t xml:space="preserve">연락처</t>
    </r>
    <r>
      <rPr>
        <sz val="9"/>
        <color rgb="FF0000FF"/>
        <rFont val="맑은 고딕"/>
        <family val="0"/>
        <charset val="1"/>
      </rPr>
      <t xml:space="preserve">]</t>
    </r>
  </si>
  <si>
    <r>
      <rPr>
        <sz val="10"/>
        <color rgb="FF000000"/>
        <rFont val="WenQuanYi Zen Hei"/>
        <family val="2"/>
      </rPr>
      <t xml:space="preserve">아래와 같이 견적합니다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</si>
  <si>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연간 예상 금액 — </t>
    </r>
    <r>
      <rPr>
        <b val="true"/>
        <sz val="10"/>
        <color rgb="FF000000"/>
        <rFont val="맑은 고딕"/>
        <family val="0"/>
        <charset val="1"/>
      </rPr>
      <t xml:space="preserve">DC24V </t>
    </r>
    <r>
      <rPr>
        <b val="true"/>
        <sz val="10"/>
        <color rgb="FF000000"/>
        <rFont val="WenQuanYi Zen Hei"/>
        <family val="2"/>
      </rPr>
      <t xml:space="preserve">사양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권장</t>
    </r>
    <r>
      <rPr>
        <b val="true"/>
        <sz val="10"/>
        <color rgb="FF000000"/>
        <rFont val="맑은 고딕"/>
        <family val="0"/>
        <charset val="1"/>
      </rPr>
      <t xml:space="preserve">, VAT </t>
    </r>
    <r>
      <rPr>
        <b val="true"/>
        <sz val="10"/>
        <color rgb="FF000000"/>
        <rFont val="WenQuanYi Zen Hei"/>
        <family val="2"/>
      </rPr>
      <t xml:space="preserve">별도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</si>
  <si>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연간 예상 금액 — </t>
    </r>
    <r>
      <rPr>
        <b val="true"/>
        <sz val="10"/>
        <color rgb="FF000000"/>
        <rFont val="맑은 고딕"/>
        <family val="0"/>
        <charset val="1"/>
      </rPr>
      <t xml:space="preserve">AC220V </t>
    </r>
    <r>
      <rPr>
        <b val="true"/>
        <sz val="10"/>
        <color rgb="FF000000"/>
        <rFont val="WenQuanYi Zen Hei"/>
        <family val="2"/>
      </rPr>
      <t xml:space="preserve">사양 </t>
    </r>
    <r>
      <rPr>
        <b val="true"/>
        <sz val="10"/>
        <color rgb="FF000000"/>
        <rFont val="맑은 고딕"/>
        <family val="0"/>
        <charset val="1"/>
      </rPr>
      <t xml:space="preserve">(VAT </t>
    </r>
    <r>
      <rPr>
        <b val="true"/>
        <sz val="10"/>
        <color rgb="FF000000"/>
        <rFont val="WenQuanYi Zen Hei"/>
        <family val="2"/>
      </rPr>
      <t xml:space="preserve">별도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</si>
  <si>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1F3864"/>
        <rFont val="맑은 고딕"/>
        <family val="0"/>
        <charset val="1"/>
      </rPr>
      <t xml:space="preserve">① DC24V </t>
    </r>
    <r>
      <rPr>
        <b val="true"/>
        <sz val="11"/>
        <color rgb="FF1F3864"/>
        <rFont val="WenQuanYi Zen Hei"/>
        <family val="2"/>
      </rPr>
      <t xml:space="preserve">사양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권장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</si>
  <si>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No.</t>
  </si>
  <si>
    <t xml:space="preserve">프로젝트</t>
  </si>
  <si>
    <t xml:space="preserve">정격전압</t>
  </si>
  <si>
    <r>
      <rPr>
        <b val="true"/>
        <sz val="9"/>
        <color rgb="FF000000"/>
        <rFont val="WenQuanYi Zen Hei"/>
        <family val="2"/>
      </rPr>
      <t xml:space="preserve">구성 </t>
    </r>
    <r>
      <rPr>
        <b val="true"/>
        <sz val="9"/>
        <color rgb="FF000000"/>
        <rFont val="맑은 고딕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모델</t>
    </r>
    <r>
      <rPr>
        <b val="true"/>
        <sz val="9"/>
        <color rgb="FF000000"/>
        <rFont val="맑은 고딕"/>
        <family val="0"/>
        <charset val="1"/>
      </rPr>
      <t xml:space="preserve">)</t>
    </r>
  </si>
  <si>
    <t xml:space="preserve">단위</t>
  </si>
  <si>
    <r>
      <rPr>
        <b val="true"/>
        <sz val="9"/>
        <color rgb="FF000000"/>
        <rFont val="맑은 고딕"/>
        <family val="0"/>
        <charset val="1"/>
      </rPr>
      <t xml:space="preserve">1</t>
    </r>
    <r>
      <rPr>
        <b val="true"/>
        <sz val="9"/>
        <color rgb="FF000000"/>
        <rFont val="WenQuanYi Zen Hei"/>
        <family val="2"/>
      </rPr>
      <t xml:space="preserve">식 단가</t>
    </r>
  </si>
  <si>
    <t xml:space="preserve">연간
예상수량</t>
  </si>
  <si>
    <t xml:space="preserve">연간 예상금액</t>
  </si>
  <si>
    <t xml:space="preserve">비고</t>
  </si>
  <si>
    <t xml:space="preserve">TSU</t>
  </si>
  <si>
    <t xml:space="preserve">DC24V</t>
  </si>
  <si>
    <t xml:space="preserve">TM241C24T</t>
  </si>
  <si>
    <t xml:space="preserve">식</t>
  </si>
  <si>
    <t xml:space="preserve">ANU</t>
  </si>
  <si>
    <t xml:space="preserve">TM241C40T</t>
  </si>
  <si>
    <t xml:space="preserve">ANU-S</t>
  </si>
  <si>
    <t xml:space="preserve">TM241C24T + TM3AQ2</t>
  </si>
  <si>
    <t xml:space="preserve">MCC</t>
  </si>
  <si>
    <t xml:space="preserve">TM241CE40T + TM3DI16×5 + TM3DQ16T×2 + TM3DQ8T + TM3AQ4 + TM3XTRA1 + TM3XREC1</t>
  </si>
  <si>
    <r>
      <rPr>
        <b val="true"/>
        <sz val="10"/>
        <color rgb="FF000000"/>
        <rFont val="WenQuanYi Zen Hei"/>
        <family val="2"/>
      </rPr>
      <t xml:space="preserve">소계 — </t>
    </r>
    <r>
      <rPr>
        <b val="true"/>
        <sz val="10"/>
        <color rgb="FF000000"/>
        <rFont val="맑은 고딕"/>
        <family val="0"/>
        <charset val="1"/>
      </rPr>
      <t xml:space="preserve">DC24V </t>
    </r>
    <r>
      <rPr>
        <b val="true"/>
        <sz val="10"/>
        <color rgb="FF000000"/>
        <rFont val="WenQuanYi Zen Hei"/>
        <family val="2"/>
      </rPr>
      <t xml:space="preserve">사양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권장</t>
    </r>
    <r>
      <rPr>
        <b val="true"/>
        <sz val="10"/>
        <color rgb="FF000000"/>
        <rFont val="맑은 고딕"/>
        <family val="0"/>
        <charset val="1"/>
      </rPr>
      <t xml:space="preserve">)  (VAT </t>
    </r>
    <r>
      <rPr>
        <b val="true"/>
        <sz val="10"/>
        <color rgb="FF000000"/>
        <rFont val="WenQuanYi Zen Hei"/>
        <family val="2"/>
      </rPr>
      <t xml:space="preserve">별도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</si>
  <si>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1F3864"/>
        <rFont val="맑은 고딕"/>
        <family val="0"/>
        <charset val="1"/>
      </rPr>
      <t xml:space="preserve">② AC220V </t>
    </r>
    <r>
      <rPr>
        <b val="true"/>
        <sz val="11"/>
        <color rgb="FF1F3864"/>
        <rFont val="WenQuanYi Zen Hei"/>
        <family val="2"/>
      </rPr>
      <t xml:space="preserve">사양</t>
    </r>
  </si>
  <si>
    <t xml:space="preserve">AC220V</t>
  </si>
  <si>
    <t xml:space="preserve">TM241C24R</t>
  </si>
  <si>
    <t xml:space="preserve">TM241C40R</t>
  </si>
  <si>
    <t xml:space="preserve">TM241C24R + TM3AQ2</t>
  </si>
  <si>
    <r>
      <rPr>
        <sz val="8"/>
        <color rgb="FF595959"/>
        <rFont val="맑은 고딕"/>
        <family val="0"/>
        <charset val="1"/>
      </rPr>
      <t xml:space="preserve">MCC</t>
    </r>
    <r>
      <rPr>
        <sz val="8"/>
        <color rgb="FF595959"/>
        <rFont val="WenQuanYi Zen Hei"/>
        <family val="2"/>
      </rPr>
      <t xml:space="preserve">는 </t>
    </r>
    <r>
      <rPr>
        <sz val="8"/>
        <color rgb="FF595959"/>
        <rFont val="맑은 고딕"/>
        <family val="0"/>
        <charset val="1"/>
      </rPr>
      <t xml:space="preserve">DC24V </t>
    </r>
    <r>
      <rPr>
        <sz val="8"/>
        <color rgb="FF595959"/>
        <rFont val="WenQuanYi Zen Hei"/>
        <family val="2"/>
      </rPr>
      <t xml:space="preserve">사양</t>
    </r>
  </si>
  <si>
    <r>
      <rPr>
        <b val="true"/>
        <sz val="10"/>
        <color rgb="FF000000"/>
        <rFont val="WenQuanYi Zen Hei"/>
        <family val="2"/>
      </rPr>
      <t xml:space="preserve">소계 — </t>
    </r>
    <r>
      <rPr>
        <b val="true"/>
        <sz val="10"/>
        <color rgb="FF000000"/>
        <rFont val="맑은 고딕"/>
        <family val="0"/>
        <charset val="1"/>
      </rPr>
      <t xml:space="preserve">AC220V </t>
    </r>
    <r>
      <rPr>
        <b val="true"/>
        <sz val="10"/>
        <color rgb="FF000000"/>
        <rFont val="WenQuanYi Zen Hei"/>
        <family val="2"/>
      </rPr>
      <t xml:space="preserve">사양  </t>
    </r>
    <r>
      <rPr>
        <b val="true"/>
        <sz val="10"/>
        <color rgb="FF000000"/>
        <rFont val="맑은 고딕"/>
        <family val="0"/>
        <charset val="1"/>
      </rPr>
      <t xml:space="preserve">(VAT </t>
    </r>
    <r>
      <rPr>
        <b val="true"/>
        <sz val="10"/>
        <color rgb="FF000000"/>
        <rFont val="WenQuanYi Zen Hei"/>
        <family val="2"/>
      </rPr>
      <t xml:space="preserve">별도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</si>
  <si>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특기 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</si>
  <si>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가격 기준</t>
    </r>
    <r>
      <rPr>
        <sz val="9"/>
        <color rgb="FF000000"/>
        <rFont val="맑은 고딕"/>
        <family val="0"/>
        <charset val="1"/>
      </rPr>
      <t xml:space="preserve">: 2027</t>
    </r>
    <r>
      <rPr>
        <sz val="9"/>
        <color rgb="FF000000"/>
        <rFont val="WenQuanYi Zen Hei"/>
        <family val="2"/>
      </rPr>
      <t xml:space="preserve">년 공급 가격 기준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부가가치세 별도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</si>
  <si>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TSU · ANU · ANU-S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DC24V(</t>
    </r>
    <r>
      <rPr>
        <sz val="9"/>
        <color rgb="FF000000"/>
        <rFont val="WenQuanYi Zen Hei"/>
        <family val="2"/>
      </rPr>
      <t xml:space="preserve">권장</t>
    </r>
    <r>
      <rPr>
        <sz val="9"/>
        <color rgb="FF000000"/>
        <rFont val="맑은 고딕"/>
        <family val="0"/>
        <charset val="1"/>
      </rPr>
      <t xml:space="preserve">) / AC220V </t>
    </r>
    <r>
      <rPr>
        <sz val="9"/>
        <color rgb="FF000000"/>
        <rFont val="WenQuanYi Zen Hei"/>
        <family val="2"/>
      </rPr>
      <t xml:space="preserve">사양 중 선택</t>
    </r>
    <r>
      <rPr>
        <sz val="9"/>
        <color rgb="FF000000"/>
        <rFont val="맑은 고딕"/>
        <family val="0"/>
        <charset val="1"/>
      </rPr>
      <t xml:space="preserve">,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DC24V </t>
    </r>
    <r>
      <rPr>
        <sz val="9"/>
        <color rgb="FF000000"/>
        <rFont val="WenQuanYi Zen Hei"/>
        <family val="2"/>
      </rPr>
      <t xml:space="preserve">사양입니다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</si>
  <si>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연간 예상수량은 귀사 제시 수량</t>
    </r>
    <r>
      <rPr>
        <sz val="9"/>
        <color rgb="FF000000"/>
        <rFont val="맑은 고딕"/>
        <family val="0"/>
        <charset val="1"/>
      </rPr>
      <t xml:space="preserve">(TSU 200 / ANU 300 / ANU-S 50 / MCC 100 EA) </t>
    </r>
    <r>
      <rPr>
        <sz val="9"/>
        <color rgb="FF000000"/>
        <rFont val="WenQuanYi Zen Hei"/>
        <family val="2"/>
      </rPr>
      <t xml:space="preserve">기준이며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실제 발주 수량에 따라 정산합니다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</si>
  <si>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제조사</t>
    </r>
    <r>
      <rPr>
        <sz val="9"/>
        <color rgb="FF000000"/>
        <rFont val="맑은 고딕"/>
        <family val="0"/>
        <charset val="1"/>
      </rPr>
      <t xml:space="preserve">: Schneider Electric (Modicon M241 / TM3).  </t>
    </r>
    <r>
      <rPr>
        <sz val="9"/>
        <color rgb="FF000000"/>
        <rFont val="WenQuanYi Zen Hei"/>
        <family val="2"/>
      </rPr>
      <t xml:space="preserve">선급 인증</t>
    </r>
    <r>
      <rPr>
        <sz val="9"/>
        <color rgb="FF000000"/>
        <rFont val="맑은 고딕"/>
        <family val="0"/>
        <charset val="1"/>
      </rPr>
      <t xml:space="preserve">: LR, ABS, DNV, KR.</t>
    </r>
  </si>
  <si>
    <r>
      <rPr>
        <sz val="9"/>
        <color rgb="FF000000"/>
        <rFont val="맑은 고딕"/>
        <family val="0"/>
        <charset val="1"/>
      </rPr>
      <t xml:space="preserve">5. </t>
    </r>
    <r>
      <rPr>
        <sz val="9"/>
        <color rgb="FF000000"/>
        <rFont val="WenQuanYi Zen Hei"/>
        <family val="2"/>
      </rPr>
      <t xml:space="preserve">프로그래밍</t>
    </r>
    <r>
      <rPr>
        <sz val="9"/>
        <color rgb="FF000000"/>
        <rFont val="맑은 고딕"/>
        <family val="0"/>
        <charset val="1"/>
      </rPr>
      <t xml:space="preserve">: EcoStruxure Machine Expert (IEC 61131-3, ST </t>
    </r>
    <r>
      <rPr>
        <sz val="9"/>
        <color rgb="FF000000"/>
        <rFont val="WenQuanYi Zen Hei"/>
        <family val="2"/>
      </rPr>
      <t xml:space="preserve">언어 지원</t>
    </r>
    <r>
      <rPr>
        <sz val="9"/>
        <color rgb="FF000000"/>
        <rFont val="맑은 고딕"/>
        <family val="0"/>
        <charset val="1"/>
      </rPr>
      <t xml:space="preserve">).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</si>
  <si>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세부 구성은 별첨 </t>
    </r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세부 구성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시트 참조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</si>
  <si>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FF"/>
        <rFont val="맑은 고딕"/>
        <family val="0"/>
        <charset val="1"/>
      </rPr>
      <t xml:space="preserve">7. </t>
    </r>
    <r>
      <rPr>
        <sz val="9"/>
        <color rgb="FF0000FF"/>
        <rFont val="WenQuanYi Zen Hei"/>
        <family val="2"/>
      </rPr>
      <t xml:space="preserve">납기 </t>
    </r>
    <r>
      <rPr>
        <sz val="9"/>
        <color rgb="FF0000FF"/>
        <rFont val="맑은 고딕"/>
        <family val="0"/>
        <charset val="1"/>
      </rPr>
      <t xml:space="preserve">· </t>
    </r>
    <r>
      <rPr>
        <sz val="9"/>
        <color rgb="FF0000FF"/>
        <rFont val="WenQuanYi Zen Hei"/>
        <family val="2"/>
      </rPr>
      <t xml:space="preserve">결제 조건</t>
    </r>
    <r>
      <rPr>
        <sz val="9"/>
        <color rgb="FF0000FF"/>
        <rFont val="맑은 고딕"/>
        <family val="0"/>
        <charset val="1"/>
      </rPr>
      <t xml:space="preserve">: [</t>
    </r>
    <r>
      <rPr>
        <sz val="9"/>
        <color rgb="FF0000FF"/>
        <rFont val="WenQuanYi Zen Hei"/>
        <family val="2"/>
      </rPr>
      <t xml:space="preserve">협의</t>
    </r>
    <r>
      <rPr>
        <sz val="9"/>
        <color rgb="FF0000FF"/>
        <rFont val="맑은 고딕"/>
        <family val="0"/>
        <charset val="1"/>
      </rPr>
      <t xml:space="preserve">]</t>
    </r>
  </si>
  <si>
    <r>
      <rPr>
        <b val="true"/>
        <sz val="14"/>
        <color rgb="FF000000"/>
        <rFont val="WenQuanYi Zen Hei"/>
        <family val="2"/>
      </rPr>
      <t xml:space="preserve">프로젝트별 세부 구성 </t>
    </r>
    <r>
      <rPr>
        <b val="true"/>
        <sz val="14"/>
        <color rgb="FF000000"/>
        <rFont val="맑은 고딕"/>
        <family val="0"/>
        <charset val="1"/>
      </rPr>
      <t xml:space="preserve">(1</t>
    </r>
    <r>
      <rPr>
        <b val="true"/>
        <sz val="14"/>
        <color rgb="FF000000"/>
        <rFont val="WenQuanYi Zen Hei"/>
        <family val="2"/>
      </rPr>
      <t xml:space="preserve">식 기준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</si>
  <si>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모델</t>
  </si>
  <si>
    <t xml:space="preserve">사양</t>
  </si>
  <si>
    <t xml:space="preserve">수량</t>
  </si>
  <si>
    <r>
      <rPr>
        <b val="true"/>
        <sz val="9"/>
        <color rgb="FF000000"/>
        <rFont val="WenQuanYi Zen Hei"/>
        <family val="2"/>
      </rPr>
      <t xml:space="preserve">제공 </t>
    </r>
    <r>
      <rPr>
        <b val="true"/>
        <sz val="9"/>
        <color rgb="FF000000"/>
        <rFont val="맑은 고딕"/>
        <family val="0"/>
        <charset val="1"/>
      </rPr>
      <t xml:space="preserve">I/O</t>
    </r>
  </si>
  <si>
    <t xml:space="preserve">Modicon M241 CPU, DI 14 / DO 10 (TR), Serial 2CH, DC24V</t>
  </si>
  <si>
    <t xml:space="preserve">EA</t>
  </si>
  <si>
    <t xml:space="preserve">DI 14 / DO 10 / Serial 2CH</t>
  </si>
  <si>
    <t xml:space="preserve">Modicon M241 CPU, DI 24 / DO 16 (TR), Serial 2CH, DC24V</t>
  </si>
  <si>
    <t xml:space="preserve">DI 24 / DO 16 / Serial 2CH</t>
  </si>
  <si>
    <t xml:space="preserve">DI 14 / DO 10 / AO 2 / Serial 2CH</t>
  </si>
  <si>
    <t xml:space="preserve">TM3AQ2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</si>
  <si>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</si>
  <si>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t xml:space="preserve">TM241CE40T</t>
  </si>
  <si>
    <t xml:space="preserve">Modicon M241 CPU, DI 24 / DO 16 (TR), Serial 2CH + Ethernet, DC24V</t>
  </si>
  <si>
    <t xml:space="preserve">DI 104 / DO 56 / AO 4 / Serial 2CH + Ethernet</t>
  </si>
  <si>
    <t xml:space="preserve">TM3DI16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</si>
  <si>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디지털 입력 </t>
    </r>
    <r>
      <rPr>
        <sz val="9"/>
        <color rgb="FF000000"/>
        <rFont val="맑은 고딕"/>
        <family val="0"/>
        <charset val="1"/>
      </rPr>
      <t xml:space="preserve">16</t>
    </r>
    <r>
      <rPr>
        <sz val="9"/>
        <color rgb="FF000000"/>
        <rFont val="WenQuanYi Zen Hei"/>
        <family val="2"/>
      </rPr>
      <t xml:space="preserve">점</t>
    </r>
  </si>
  <si>
    <t xml:space="preserve">TM3DQ16T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</si>
  <si>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트랜지스터 출력 </t>
    </r>
    <r>
      <rPr>
        <sz val="9"/>
        <color rgb="FF000000"/>
        <rFont val="맑은 고딕"/>
        <family val="0"/>
        <charset val="1"/>
      </rPr>
      <t xml:space="preserve">16</t>
    </r>
    <r>
      <rPr>
        <sz val="9"/>
        <color rgb="FF000000"/>
        <rFont val="WenQuanYi Zen Hei"/>
        <family val="2"/>
      </rPr>
      <t xml:space="preserve">점</t>
    </r>
  </si>
  <si>
    <t xml:space="preserve">TM3DQ8T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</si>
  <si>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트랜지스터 출력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점</t>
    </r>
  </si>
  <si>
    <t xml:space="preserve">TM3AQ4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</si>
  <si>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</si>
  <si>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t xml:space="preserve">TM3XTRA1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</si>
  <si>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모듈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송신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</si>
  <si>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TM3XREC1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</si>
  <si>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모듈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수신</t>
    </r>
    <r>
      <rPr>
        <sz val="9"/>
        <color rgb="FF000000"/>
        <rFont val="맑은 고딕"/>
        <family val="0"/>
        <charset val="1"/>
      </rPr>
      <t xml:space="preserve">)</t>
    </r>
  </si>
  <si>
    <t xml:space="preserve">Modicon M241 CPU, DI 14 / DO 10 (Relay 6 + TR 4), Serial 2CH, AC100~240V</t>
  </si>
  <si>
    <t xml:space="preserve">Modicon M241 CPU, DI 24 / DO 16 (Relay 12 + TR 4), Serial 2CH, AC100~240V</t>
  </si>
  <si>
    <r>
      <rPr>
        <sz val="8"/>
        <color rgb="FF595959"/>
        <rFont val="맑은 고딕"/>
        <family val="0"/>
        <charset val="1"/>
      </rPr>
      <t xml:space="preserve">※ MCC: TM3 </t>
    </r>
    <r>
      <rPr>
        <sz val="8"/>
        <color rgb="FF595959"/>
        <rFont val="WenQuanYi Zen Hei"/>
        <family val="2"/>
      </rPr>
      <t xml:space="preserve">확장 모듈 </t>
    </r>
    <r>
      <rPr>
        <sz val="8"/>
        <color rgb="FF595959"/>
        <rFont val="맑은 고딕"/>
        <family val="0"/>
        <charset val="1"/>
      </rPr>
      <t xml:space="preserve">9</t>
    </r>
    <r>
      <rPr>
        <sz val="8"/>
        <color rgb="FF595959"/>
        <rFont val="WenQuanYi Zen Hei"/>
        <family val="2"/>
      </rPr>
      <t xml:space="preserve">개 구성으로 </t>
    </r>
    <r>
      <rPr>
        <sz val="8"/>
        <color rgb="FF595959"/>
        <rFont val="맑은 고딕"/>
        <family val="0"/>
        <charset val="1"/>
      </rPr>
      <t xml:space="preserve">TM3XTRA1 / TM3XREC1 </t>
    </r>
    <r>
      <rPr>
        <sz val="8"/>
        <color rgb="FF595959"/>
        <rFont val="WenQuanYi Zen Hei"/>
        <family val="2"/>
      </rPr>
      <t xml:space="preserve">버스 확장 모듈을 적용합니다</t>
    </r>
    <r>
      <rPr>
        <sz val="8"/>
        <color rgb="FF595959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</si>
</sst>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-#,##0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000000"/>
      <name val="WenQuanYi Zen Hei"/>
      <family val="2"/>
    </font>
    <font>
      <b val="true"/>
      <sz val="9"/>
      <color rgb="FF000000"/>
      <name val="WenQuanYi Zen Hei"/>
      <family val="2"/>
    </font>
    <font>
      <sz val="9"/>
      <color rgb="FF0000FF"/>
      <name val="맑은 고딕"/>
      <family val="0"/>
      <charset val="1"/>
    </font>
    <font>
      <sz val="9"/>
      <color rgb="FF0000FF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b val="true"/>
      <sz val="9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2"/>
      <color rgb="FF000000"/>
      <name val="맑은 고딕"/>
      <family val="0"/>
      <charset val="1"/>
    </font>
    <font>
      <b val="true"/>
      <sz val="11"/>
      <color rgb="FF1F3864"/>
      <name val="맑은 고딕"/>
      <family val="0"/>
      <charset val="1"/>
    </font>
    <font>
      <b val="true"/>
      <sz val="11"/>
      <color rgb="FF1F3864"/>
      <name val="WenQuanYi Zen Hei"/>
      <family val="2"/>
    </font>
    <font>
      <sz val="8"/>
      <color rgb="FF595959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8"/>
      <color rgb="FF595959"/>
      <name val="WenQuanYi Zen Hei"/>
      <family val="2"/>
    </font>
    <font>
      <b val="true"/>
      <sz val="14"/>
      <color rgb="FF000000"/>
      <name val="WenQuanYi Zen Hei"/>
      <family val="2"/>
    </font>
    <font>
      <b val="true"/>
      <sz val="14"/>
      <color rgb="FF000000"/>
      <name val="맑은 고딕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9" min="9" style="0" width="14"/>
  </cols>
  <sheetData>
    <row r="1" customFormat="false" ht="42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15" hidden="false" customHeight="true" outlineLevel="0" collapsed="false">
      <c r="A3" s="2" t="s">
        <v>1</v>
      </c>
      <c r="B3" s="2"/>
      <c r="C3" s="3" t="s">
        <v>2</v>
      </c>
      <c r="D3" s="3"/>
      <c r="E3" s="2" t="s">
        <v>3</v>
      </c>
      <c r="F3" s="2" t="s">
        <v>4</v>
      </c>
      <c r="G3" s="3" t="s">
        <v>5</v>
      </c>
      <c r="H3" s="3"/>
      <c r="I3" s="3"/>
    </row>
    <row r="4" customFormat="false" ht="15" hidden="false" customHeight="true" outlineLevel="0" collapsed="false">
      <c r="A4" s="2" t="s">
        <v>6</v>
      </c>
      <c r="B4" s="2"/>
      <c r="C4" s="4" t="s">
        <v>7</v>
      </c>
      <c r="D4" s="4"/>
      <c r="E4" s="2"/>
      <c r="F4" s="2" t="s">
        <v>8</v>
      </c>
      <c r="G4" s="3" t="s">
        <v>9</v>
      </c>
      <c r="H4" s="3"/>
      <c r="I4" s="3"/>
    </row>
    <row r="5" customFormat="false" ht="15" hidden="false" customHeight="true" outlineLevel="0" collapsed="false">
      <c r="A5" s="2" t="s">
        <v>10</v>
      </c>
      <c r="B5" s="2"/>
      <c r="C5" s="4" t="s">
        <v>11</v>
      </c>
      <c r="D5" s="4"/>
      <c r="E5" s="2"/>
      <c r="F5" s="2" t="s">
        <v>12</v>
      </c>
      <c r="G5" s="3" t="s">
        <v>13</v>
      </c>
      <c r="H5" s="3"/>
      <c r="I5" s="3"/>
    </row>
    <row r="6" customFormat="false" ht="19.5" hidden="false" customHeight="true" outlineLevel="0" collapsed="false">
      <c r="A6" s="2" t="s">
        <v>14</v>
      </c>
      <c r="B6" s="2"/>
      <c r="C6" s="4" t="s">
        <v>15</v>
      </c>
      <c r="D6" s="4"/>
      <c r="E6" s="2"/>
      <c r="F6" s="2" t="s">
        <v>16</v>
      </c>
      <c r="G6" s="3" t="s">
        <v>17</v>
      </c>
      <c r="H6" s="3"/>
      <c r="I6" s="3"/>
    </row>
    <row r="7" customFormat="false" ht="15" hidden="false" customHeight="true" outlineLevel="0" collapsed="false">
      <c r="A7" s="2" t="s">
        <v>18</v>
      </c>
      <c r="B7" s="2"/>
      <c r="C7" s="3" t="s">
        <v>19</v>
      </c>
      <c r="D7" s="3"/>
      <c r="E7" s="2"/>
      <c r="F7" s="2" t="s">
        <v>20</v>
      </c>
      <c r="G7" s="3" t="s">
        <v>21</v>
      </c>
      <c r="H7" s="3"/>
      <c r="I7" s="3"/>
    </row>
    <row r="9" customFormat="false" ht="15" hidden="false" customHeight="false" outlineLevel="0" collapsed="false">
      <c r="A9" s="5" t="s">
        <v>22</v>
      </c>
    </row>
    <row r="10" customFormat="false" ht="24" hidden="false" customHeight="true" outlineLevel="0" collapsed="false">
      <c r="A10" s="6" t="s">
        <v>23</v>
      </c>
      <c r="B10" s="6"/>
      <c r="C10" s="6"/>
      <c r="D10" s="6"/>
      <c r="E10" s="7" t="str">
        <f aca="false">"₩ "&amp;TEXT(H19,"#,##0")&amp;"  (VAT 별도)"</f>
        <v>₩ 441,900,000  (VAT 별도)</v>
      </c>
      <c r="F10" s="7"/>
      <c r="G10" s="7"/>
      <c r="H10" s="7"/>
      <c r="I10" s="7"/>
    </row>
    <row r="11" customFormat="false" ht="24" hidden="false" customHeight="true" outlineLevel="0" collapsed="false">
      <c r="A11" s="6" t="s">
        <v>24</v>
      </c>
      <c r="B11" s="6"/>
      <c r="C11" s="6"/>
      <c r="D11" s="6"/>
      <c r="E11" s="7" t="str">
        <f aca="false">"₩ "&amp;TEXT(H27,"#,##0")&amp;"  (VAT 별도)"</f>
        <v>₩ 441,900,000  (VAT 별도)</v>
      </c>
      <c r="F11" s="7"/>
      <c r="G11" s="7"/>
      <c r="H11" s="7"/>
      <c r="I11" s="7"/>
    </row>
    <row r="13" customFormat="false" ht="21.75" hidden="false" customHeight="true" outlineLevel="0" collapsed="false">
      <c r="A13" s="8" t="s">
        <v>25</v>
      </c>
      <c r="B13" s="8"/>
      <c r="C13" s="8"/>
      <c r="D13" s="8"/>
      <c r="E13" s="8"/>
      <c r="F13" s="8"/>
      <c r="G13" s="8"/>
      <c r="H13" s="8"/>
      <c r="I13" s="8"/>
    </row>
    <row r="14" customFormat="false" ht="30" hidden="false" customHeight="true" outlineLevel="0" collapsed="false">
      <c r="A14" s="9" t="s">
        <v>26</v>
      </c>
      <c r="B14" s="10" t="s">
        <v>27</v>
      </c>
      <c r="C14" s="10" t="s">
        <v>28</v>
      </c>
      <c r="D14" s="10" t="s">
        <v>29</v>
      </c>
      <c r="E14" s="10" t="s">
        <v>30</v>
      </c>
      <c r="F14" s="9" t="s">
        <v>31</v>
      </c>
      <c r="G14" s="10" t="s">
        <v>32</v>
      </c>
      <c r="H14" s="10" t="s">
        <v>33</v>
      </c>
      <c r="I14" s="10" t="s">
        <v>34</v>
      </c>
    </row>
    <row r="15" customFormat="false" ht="21.75" hidden="false" customHeight="true" outlineLevel="0" collapsed="false">
      <c r="A15" s="11" t="n">
        <v>1</v>
      </c>
      <c r="B15" s="12" t="s">
        <v>35</v>
      </c>
      <c r="C15" s="11" t="s">
        <v>36</v>
      </c>
      <c r="D15" s="4" t="s">
        <v>37</v>
      </c>
      <c r="E15" s="13" t="s">
        <v>38</v>
      </c>
      <c r="F15" s="14" t="n">
        <v>494000</v>
      </c>
      <c r="G15" s="15" t="n">
        <v>200</v>
      </c>
      <c r="H15" s="16" t="n">
        <f aca="false">F15*G15</f>
        <v>98800000</v>
      </c>
      <c r="I15" s="17"/>
    </row>
    <row r="16" customFormat="false" ht="21.75" hidden="false" customHeight="true" outlineLevel="0" collapsed="false">
      <c r="A16" s="11" t="n">
        <v>2</v>
      </c>
      <c r="B16" s="12" t="s">
        <v>39</v>
      </c>
      <c r="C16" s="11" t="s">
        <v>36</v>
      </c>
      <c r="D16" s="4" t="s">
        <v>40</v>
      </c>
      <c r="E16" s="13" t="s">
        <v>38</v>
      </c>
      <c r="F16" s="14" t="n">
        <v>646000</v>
      </c>
      <c r="G16" s="15" t="n">
        <v>300</v>
      </c>
      <c r="H16" s="16" t="n">
        <f aca="false">F16*G16</f>
        <v>193800000</v>
      </c>
      <c r="I16" s="17"/>
    </row>
    <row r="17" customFormat="false" ht="21.75" hidden="false" customHeight="true" outlineLevel="0" collapsed="false">
      <c r="A17" s="11" t="n">
        <v>3</v>
      </c>
      <c r="B17" s="12" t="s">
        <v>41</v>
      </c>
      <c r="C17" s="11" t="s">
        <v>36</v>
      </c>
      <c r="D17" s="4" t="s">
        <v>42</v>
      </c>
      <c r="E17" s="13" t="s">
        <v>38</v>
      </c>
      <c r="F17" s="14" t="n">
        <v>646000</v>
      </c>
      <c r="G17" s="15" t="n">
        <v>50</v>
      </c>
      <c r="H17" s="16" t="n">
        <f aca="false">F17*G17</f>
        <v>32300000</v>
      </c>
      <c r="I17" s="17"/>
    </row>
    <row r="18" customFormat="false" ht="33.75" hidden="false" customHeight="true" outlineLevel="0" collapsed="false">
      <c r="A18" s="11" t="n">
        <v>4</v>
      </c>
      <c r="B18" s="12" t="s">
        <v>43</v>
      </c>
      <c r="C18" s="11" t="s">
        <v>36</v>
      </c>
      <c r="D18" s="4" t="s">
        <v>44</v>
      </c>
      <c r="E18" s="13" t="s">
        <v>38</v>
      </c>
      <c r="F18" s="14" t="n">
        <v>1170000</v>
      </c>
      <c r="G18" s="15" t="n">
        <v>100</v>
      </c>
      <c r="H18" s="16" t="n">
        <f aca="false">F18*G18</f>
        <v>117000000</v>
      </c>
      <c r="I18" s="17"/>
    </row>
    <row r="19" customFormat="false" ht="15" hidden="false" customHeight="true" outlineLevel="0" collapsed="false">
      <c r="A19" s="6" t="s">
        <v>45</v>
      </c>
      <c r="B19" s="6"/>
      <c r="C19" s="6"/>
      <c r="D19" s="6"/>
      <c r="E19" s="6"/>
      <c r="F19" s="6"/>
      <c r="G19" s="6"/>
      <c r="H19" s="18" t="n">
        <f aca="false">SUM(H15:H18)</f>
        <v>441900000</v>
      </c>
      <c r="I19" s="19"/>
    </row>
    <row r="21" customFormat="false" ht="21.75" hidden="false" customHeight="true" outlineLevel="0" collapsed="false">
      <c r="A21" s="8" t="s">
        <v>46</v>
      </c>
      <c r="B21" s="8"/>
      <c r="C21" s="8"/>
      <c r="D21" s="8"/>
      <c r="E21" s="8"/>
      <c r="F21" s="8"/>
      <c r="G21" s="8"/>
      <c r="H21" s="8"/>
      <c r="I21" s="8"/>
    </row>
    <row r="22" customFormat="false" ht="30" hidden="false" customHeight="true" outlineLevel="0" collapsed="false">
      <c r="A22" s="9" t="s">
        <v>26</v>
      </c>
      <c r="B22" s="10" t="s">
        <v>27</v>
      </c>
      <c r="C22" s="10" t="s">
        <v>28</v>
      </c>
      <c r="D22" s="10" t="s">
        <v>29</v>
      </c>
      <c r="E22" s="10" t="s">
        <v>30</v>
      </c>
      <c r="F22" s="9" t="s">
        <v>31</v>
      </c>
      <c r="G22" s="10" t="s">
        <v>32</v>
      </c>
      <c r="H22" s="10" t="s">
        <v>33</v>
      </c>
      <c r="I22" s="10" t="s">
        <v>34</v>
      </c>
    </row>
    <row r="23" customFormat="false" ht="21.75" hidden="false" customHeight="true" outlineLevel="0" collapsed="false">
      <c r="A23" s="11" t="n">
        <v>1</v>
      </c>
      <c r="B23" s="12" t="s">
        <v>35</v>
      </c>
      <c r="C23" s="11" t="s">
        <v>47</v>
      </c>
      <c r="D23" s="4" t="s">
        <v>48</v>
      </c>
      <c r="E23" s="13" t="s">
        <v>38</v>
      </c>
      <c r="F23" s="14" t="n">
        <v>494000</v>
      </c>
      <c r="G23" s="15" t="n">
        <v>200</v>
      </c>
      <c r="H23" s="16" t="n">
        <f aca="false">F23*G23</f>
        <v>98800000</v>
      </c>
      <c r="I23" s="17"/>
    </row>
    <row r="24" customFormat="false" ht="21.75" hidden="false" customHeight="true" outlineLevel="0" collapsed="false">
      <c r="A24" s="11" t="n">
        <v>2</v>
      </c>
      <c r="B24" s="12" t="s">
        <v>39</v>
      </c>
      <c r="C24" s="11" t="s">
        <v>47</v>
      </c>
      <c r="D24" s="4" t="s">
        <v>49</v>
      </c>
      <c r="E24" s="13" t="s">
        <v>38</v>
      </c>
      <c r="F24" s="14" t="n">
        <v>646000</v>
      </c>
      <c r="G24" s="15" t="n">
        <v>300</v>
      </c>
      <c r="H24" s="16" t="n">
        <f aca="false">F24*G24</f>
        <v>193800000</v>
      </c>
      <c r="I24" s="17"/>
    </row>
    <row r="25" customFormat="false" ht="21.75" hidden="false" customHeight="true" outlineLevel="0" collapsed="false">
      <c r="A25" s="11" t="n">
        <v>3</v>
      </c>
      <c r="B25" s="12" t="s">
        <v>41</v>
      </c>
      <c r="C25" s="11" t="s">
        <v>47</v>
      </c>
      <c r="D25" s="4" t="s">
        <v>50</v>
      </c>
      <c r="E25" s="13" t="s">
        <v>38</v>
      </c>
      <c r="F25" s="14" t="n">
        <v>646000</v>
      </c>
      <c r="G25" s="15" t="n">
        <v>50</v>
      </c>
      <c r="H25" s="16" t="n">
        <f aca="false">F25*G25</f>
        <v>32300000</v>
      </c>
      <c r="I25" s="17"/>
    </row>
    <row r="26" customFormat="false" ht="33.75" hidden="false" customHeight="true" outlineLevel="0" collapsed="false">
      <c r="A26" s="11" t="n">
        <v>4</v>
      </c>
      <c r="B26" s="12" t="s">
        <v>43</v>
      </c>
      <c r="C26" s="11" t="s">
        <v>36</v>
      </c>
      <c r="D26" s="4" t="s">
        <v>44</v>
      </c>
      <c r="E26" s="13" t="s">
        <v>38</v>
      </c>
      <c r="F26" s="14" t="n">
        <v>1170000</v>
      </c>
      <c r="G26" s="15" t="n">
        <v>100</v>
      </c>
      <c r="H26" s="16" t="n">
        <f aca="false">F26*G26</f>
        <v>117000000</v>
      </c>
      <c r="I26" s="17" t="s">
        <v>51</v>
      </c>
    </row>
    <row r="27" customFormat="false" ht="15" hidden="false" customHeight="true" outlineLevel="0" collapsed="false">
      <c r="A27" s="6" t="s">
        <v>52</v>
      </c>
      <c r="B27" s="6"/>
      <c r="C27" s="6"/>
      <c r="D27" s="6"/>
      <c r="E27" s="6"/>
      <c r="F27" s="6"/>
      <c r="G27" s="6"/>
      <c r="H27" s="18" t="n">
        <f aca="false">SUM(H23:H26)</f>
        <v>441900000</v>
      </c>
      <c r="I27" s="19"/>
    </row>
    <row r="29" customFormat="false" ht="15" hidden="false" customHeight="false" outlineLevel="0" collapsed="false">
      <c r="A29" s="20" t="s">
        <v>53</v>
      </c>
    </row>
    <row r="30" customFormat="false" ht="18" hidden="false" customHeight="true" outlineLevel="0" collapsed="false">
      <c r="A30" s="21" t="s">
        <v>54</v>
      </c>
      <c r="B30" s="21"/>
      <c r="C30" s="21"/>
      <c r="D30" s="21"/>
      <c r="E30" s="21"/>
      <c r="F30" s="21"/>
      <c r="G30" s="21"/>
      <c r="H30" s="21"/>
      <c r="I30" s="21"/>
    </row>
    <row r="31" customFormat="false" ht="18" hidden="false" customHeight="true" outlineLevel="0" collapsed="false">
      <c r="A31" s="21" t="s">
        <v>55</v>
      </c>
      <c r="B31" s="21"/>
      <c r="C31" s="21"/>
      <c r="D31" s="21"/>
      <c r="E31" s="21"/>
      <c r="F31" s="21"/>
      <c r="G31" s="21"/>
      <c r="H31" s="21"/>
      <c r="I31" s="21"/>
    </row>
    <row r="32" customFormat="false" ht="18" hidden="false" customHeight="true" outlineLevel="0" collapsed="false">
      <c r="A32" s="21" t="s">
        <v>56</v>
      </c>
      <c r="B32" s="21"/>
      <c r="C32" s="21"/>
      <c r="D32" s="21"/>
      <c r="E32" s="21"/>
      <c r="F32" s="21"/>
      <c r="G32" s="21"/>
      <c r="H32" s="21"/>
      <c r="I32" s="21"/>
    </row>
    <row r="33" customFormat="false" ht="18" hidden="false" customHeight="true" outlineLevel="0" collapsed="false">
      <c r="A33" s="21" t="s">
        <v>57</v>
      </c>
      <c r="B33" s="21"/>
      <c r="C33" s="21"/>
      <c r="D33" s="21"/>
      <c r="E33" s="21"/>
      <c r="F33" s="21"/>
      <c r="G33" s="21"/>
      <c r="H33" s="21"/>
      <c r="I33" s="21"/>
    </row>
    <row r="34" customFormat="false" ht="18" hidden="false" customHeight="true" outlineLevel="0" collapsed="false">
      <c r="A34" s="21" t="s">
        <v>58</v>
      </c>
      <c r="B34" s="21"/>
      <c r="C34" s="21"/>
      <c r="D34" s="21"/>
      <c r="E34" s="21"/>
      <c r="F34" s="21"/>
      <c r="G34" s="21"/>
      <c r="H34" s="21"/>
      <c r="I34" s="21"/>
    </row>
    <row r="35" customFormat="false" ht="18" hidden="false" customHeight="true" outlineLevel="0" collapsed="false">
      <c r="A35" s="21" t="s">
        <v>59</v>
      </c>
      <c r="B35" s="21"/>
      <c r="C35" s="21"/>
      <c r="D35" s="21"/>
      <c r="E35" s="21"/>
      <c r="F35" s="21"/>
      <c r="G35" s="21"/>
      <c r="H35" s="21"/>
      <c r="I35" s="21"/>
    </row>
    <row r="36" customFormat="false" ht="18" hidden="false" customHeight="true" outlineLevel="0" collapsed="false">
      <c r="A36" s="22" t="s">
        <v>60</v>
      </c>
      <c r="B36" s="22"/>
      <c r="C36" s="22"/>
      <c r="D36" s="22"/>
      <c r="E36" s="22"/>
      <c r="F36" s="22"/>
      <c r="G36" s="22"/>
      <c r="H36" s="22"/>
      <c r="I36" s="22"/>
    </row>
  </sheetData>
  <mergeCells count="32">
    <mergeCell ref="A1:I1"/>
    <mergeCell ref="A3:B3"/>
    <mergeCell ref="C3:D3"/>
    <mergeCell ref="E3:E7"/>
    <mergeCell ref="G3:I3"/>
    <mergeCell ref="A4:B4"/>
    <mergeCell ref="C4:D4"/>
    <mergeCell ref="G4:I4"/>
    <mergeCell ref="A5:B5"/>
    <mergeCell ref="C5:D5"/>
    <mergeCell ref="G5:I5"/>
    <mergeCell ref="A6:B6"/>
    <mergeCell ref="C6:D6"/>
    <mergeCell ref="G6:I6"/>
    <mergeCell ref="A7:B7"/>
    <mergeCell ref="C7:D7"/>
    <mergeCell ref="G7:I7"/>
    <mergeCell ref="A10:D10"/>
    <mergeCell ref="E10:I10"/>
    <mergeCell ref="A11:D11"/>
    <mergeCell ref="E11:I11"/>
    <mergeCell ref="A13:I13"/>
    <mergeCell ref="A19:G19"/>
    <mergeCell ref="A21:I21"/>
    <mergeCell ref="A27:G27"/>
    <mergeCell ref="A30:I30"/>
    <mergeCell ref="A31:I31"/>
    <mergeCell ref="A32:I32"/>
    <mergeCell ref="A33:I33"/>
    <mergeCell ref="A34:I34"/>
    <mergeCell ref="A35:I35"/>
    <mergeCell ref="A36:I3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52"/>
    <col collapsed="false" customWidth="true" hidden="false" outlineLevel="0" max="6" min="5" style="0" width="9"/>
    <col collapsed="false" customWidth="true" hidden="false" outlineLevel="0" max="7" min="7" style="0" width="30"/>
  </cols>
  <sheetData>
    <row r="1" customFormat="false" ht="19.4" hidden="false" customHeight="true" outlineLevel="0" collapsed="false">
      <c r="A1" s="23" t="s">
        <v>61</v>
      </c>
      <c r="B1" s="23"/>
      <c r="C1" s="23"/>
      <c r="D1" s="23"/>
      <c r="E1" s="23"/>
      <c r="F1" s="23"/>
      <c r="G1" s="23"/>
    </row>
    <row r="3" customFormat="false" ht="15" hidden="false" customHeight="false" outlineLevel="0" collapsed="false">
      <c r="A3" s="10" t="s">
        <v>27</v>
      </c>
      <c r="B3" s="10" t="s">
        <v>28</v>
      </c>
      <c r="C3" s="10" t="s">
        <v>62</v>
      </c>
      <c r="D3" s="10" t="s">
        <v>63</v>
      </c>
      <c r="E3" s="10" t="s">
        <v>64</v>
      </c>
      <c r="F3" s="10" t="s">
        <v>30</v>
      </c>
      <c r="G3" s="10" t="s">
        <v>65</v>
      </c>
    </row>
    <row r="4" customFormat="false" ht="19.5" hidden="false" customHeight="true" outlineLevel="0" collapsed="false">
      <c r="A4" s="12" t="s">
        <v>35</v>
      </c>
      <c r="B4" s="11" t="s">
        <v>36</v>
      </c>
      <c r="C4" s="24" t="s">
        <v>37</v>
      </c>
      <c r="D4" s="4" t="s">
        <v>66</v>
      </c>
      <c r="E4" s="11" t="n">
        <v>1</v>
      </c>
      <c r="F4" s="11" t="s">
        <v>67</v>
      </c>
      <c r="G4" s="4" t="s">
        <v>68</v>
      </c>
    </row>
    <row r="5" customFormat="false" ht="19.5" hidden="false" customHeight="true" outlineLevel="0" collapsed="false">
      <c r="A5" s="12" t="s">
        <v>39</v>
      </c>
      <c r="B5" s="11" t="s">
        <v>36</v>
      </c>
      <c r="C5" s="24" t="s">
        <v>40</v>
      </c>
      <c r="D5" s="4" t="s">
        <v>69</v>
      </c>
      <c r="E5" s="11" t="n">
        <v>1</v>
      </c>
      <c r="F5" s="11" t="s">
        <v>67</v>
      </c>
      <c r="G5" s="4" t="s">
        <v>70</v>
      </c>
    </row>
    <row r="6" customFormat="false" ht="19.5" hidden="false" customHeight="true" outlineLevel="0" collapsed="false">
      <c r="A6" s="12" t="s">
        <v>41</v>
      </c>
      <c r="B6" s="11" t="s">
        <v>36</v>
      </c>
      <c r="C6" s="24" t="s">
        <v>37</v>
      </c>
      <c r="D6" s="4" t="s">
        <v>66</v>
      </c>
      <c r="E6" s="11" t="n">
        <v>1</v>
      </c>
      <c r="F6" s="11" t="s">
        <v>67</v>
      </c>
      <c r="G6" s="4" t="s">
        <v>71</v>
      </c>
    </row>
    <row r="7" customFormat="false" ht="19.5" hidden="false" customHeight="true" outlineLevel="0" collapsed="false">
      <c r="A7" s="12"/>
      <c r="B7" s="12"/>
      <c r="C7" s="24" t="s">
        <v>72</v>
      </c>
      <c r="D7" s="4" t="s">
        <v>73</v>
      </c>
      <c r="E7" s="11" t="n">
        <v>1</v>
      </c>
      <c r="F7" s="11" t="s">
        <v>67</v>
      </c>
      <c r="G7" s="4"/>
    </row>
    <row r="8" customFormat="false" ht="19.5" hidden="false" customHeight="true" outlineLevel="0" collapsed="false">
      <c r="A8" s="12" t="s">
        <v>43</v>
      </c>
      <c r="B8" s="11" t="s">
        <v>36</v>
      </c>
      <c r="C8" s="24" t="s">
        <v>74</v>
      </c>
      <c r="D8" s="4" t="s">
        <v>75</v>
      </c>
      <c r="E8" s="11" t="n">
        <v>1</v>
      </c>
      <c r="F8" s="11" t="s">
        <v>67</v>
      </c>
      <c r="G8" s="4" t="s">
        <v>76</v>
      </c>
    </row>
    <row r="9" customFormat="false" ht="19.5" hidden="false" customHeight="true" outlineLevel="0" collapsed="false">
      <c r="A9" s="12"/>
      <c r="B9" s="12"/>
      <c r="C9" s="24" t="s">
        <v>77</v>
      </c>
      <c r="D9" s="4" t="s">
        <v>78</v>
      </c>
      <c r="E9" s="11" t="n">
        <v>5</v>
      </c>
      <c r="F9" s="11" t="s">
        <v>67</v>
      </c>
      <c r="G9" s="4"/>
    </row>
    <row r="10" customFormat="false" ht="19.5" hidden="false" customHeight="true" outlineLevel="0" collapsed="false">
      <c r="A10" s="12"/>
      <c r="B10" s="12"/>
      <c r="C10" s="24" t="s">
        <v>79</v>
      </c>
      <c r="D10" s="4" t="s">
        <v>80</v>
      </c>
      <c r="E10" s="11" t="n">
        <v>2</v>
      </c>
      <c r="F10" s="11" t="s">
        <v>67</v>
      </c>
      <c r="G10" s="4"/>
    </row>
    <row r="11" customFormat="false" ht="19.5" hidden="false" customHeight="true" outlineLevel="0" collapsed="false">
      <c r="A11" s="12"/>
      <c r="B11" s="12"/>
      <c r="C11" s="24" t="s">
        <v>81</v>
      </c>
      <c r="D11" s="4" t="s">
        <v>82</v>
      </c>
      <c r="E11" s="11" t="n">
        <v>1</v>
      </c>
      <c r="F11" s="11" t="s">
        <v>67</v>
      </c>
      <c r="G11" s="4"/>
    </row>
    <row r="12" customFormat="false" ht="19.5" hidden="false" customHeight="true" outlineLevel="0" collapsed="false">
      <c r="A12" s="12"/>
      <c r="B12" s="12"/>
      <c r="C12" s="24" t="s">
        <v>83</v>
      </c>
      <c r="D12" s="4" t="s">
        <v>84</v>
      </c>
      <c r="E12" s="11" t="n">
        <v>1</v>
      </c>
      <c r="F12" s="11" t="s">
        <v>67</v>
      </c>
      <c r="G12" s="4"/>
    </row>
    <row r="13" customFormat="false" ht="19.5" hidden="false" customHeight="true" outlineLevel="0" collapsed="false">
      <c r="A13" s="12"/>
      <c r="B13" s="12"/>
      <c r="C13" s="24" t="s">
        <v>85</v>
      </c>
      <c r="D13" s="4" t="s">
        <v>86</v>
      </c>
      <c r="E13" s="11" t="n">
        <v>1</v>
      </c>
      <c r="F13" s="11" t="s">
        <v>67</v>
      </c>
      <c r="G13" s="4"/>
    </row>
    <row r="14" customFormat="false" ht="19.5" hidden="false" customHeight="true" outlineLevel="0" collapsed="false">
      <c r="A14" s="12"/>
      <c r="B14" s="12"/>
      <c r="C14" s="24" t="s">
        <v>87</v>
      </c>
      <c r="D14" s="4" t="s">
        <v>88</v>
      </c>
      <c r="E14" s="11" t="n">
        <v>1</v>
      </c>
      <c r="F14" s="11" t="s">
        <v>67</v>
      </c>
      <c r="G14" s="4"/>
    </row>
    <row r="15" customFormat="false" ht="19.5" hidden="false" customHeight="true" outlineLevel="0" collapsed="false">
      <c r="A15" s="12" t="s">
        <v>35</v>
      </c>
      <c r="B15" s="11" t="s">
        <v>47</v>
      </c>
      <c r="C15" s="24" t="s">
        <v>48</v>
      </c>
      <c r="D15" s="4" t="s">
        <v>89</v>
      </c>
      <c r="E15" s="11" t="n">
        <v>1</v>
      </c>
      <c r="F15" s="11" t="s">
        <v>67</v>
      </c>
      <c r="G15" s="4" t="s">
        <v>68</v>
      </c>
    </row>
    <row r="16" customFormat="false" ht="19.5" hidden="false" customHeight="true" outlineLevel="0" collapsed="false">
      <c r="A16" s="12" t="s">
        <v>39</v>
      </c>
      <c r="B16" s="11" t="s">
        <v>47</v>
      </c>
      <c r="C16" s="24" t="s">
        <v>49</v>
      </c>
      <c r="D16" s="4" t="s">
        <v>90</v>
      </c>
      <c r="E16" s="11" t="n">
        <v>1</v>
      </c>
      <c r="F16" s="11" t="s">
        <v>67</v>
      </c>
      <c r="G16" s="4" t="s">
        <v>70</v>
      </c>
    </row>
    <row r="17" customFormat="false" ht="19.5" hidden="false" customHeight="true" outlineLevel="0" collapsed="false">
      <c r="A17" s="12" t="s">
        <v>41</v>
      </c>
      <c r="B17" s="11" t="s">
        <v>47</v>
      </c>
      <c r="C17" s="24" t="s">
        <v>48</v>
      </c>
      <c r="D17" s="4" t="s">
        <v>89</v>
      </c>
      <c r="E17" s="11" t="n">
        <v>1</v>
      </c>
      <c r="F17" s="11" t="s">
        <v>67</v>
      </c>
      <c r="G17" s="4" t="s">
        <v>71</v>
      </c>
    </row>
    <row r="18" customFormat="false" ht="19.5" hidden="false" customHeight="true" outlineLevel="0" collapsed="false">
      <c r="A18" s="12"/>
      <c r="B18" s="12"/>
      <c r="C18" s="24" t="s">
        <v>72</v>
      </c>
      <c r="D18" s="4" t="s">
        <v>73</v>
      </c>
      <c r="E18" s="11" t="n">
        <v>1</v>
      </c>
      <c r="F18" s="11" t="s">
        <v>67</v>
      </c>
      <c r="G18" s="4"/>
    </row>
    <row r="20" customFormat="false" ht="15" hidden="false" customHeight="true" outlineLevel="0" collapsed="false">
      <c r="A20" s="25" t="s">
        <v>91</v>
      </c>
      <c r="B20" s="25"/>
      <c r="C20" s="25"/>
      <c r="D20" s="25"/>
      <c r="E20" s="25"/>
      <c r="F20" s="25"/>
      <c r="G20" s="25"/>
    </row>
  </sheetData>
  <mergeCells count="11">
    <mergeCell ref="A1:G1"/>
    <mergeCell ref="A6:A7"/>
    <mergeCell ref="B6:B7"/>
    <mergeCell ref="G6:G7"/>
    <mergeCell ref="A8:A14"/>
    <mergeCell ref="B8:B14"/>
    <mergeCell ref="G8:G14"/>
    <mergeCell ref="A17:A18"/>
    <mergeCell ref="B17:B18"/>
    <mergeCell ref="G17:G18"/>
    <mergeCell ref="A20:G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2026-10-06T03:40:50Z</dcterms:created>
  <dc:creator>openpyxl</dc:creator>
  <dc:description/>
  <dc:language>en-US</dc:language>
  <cp:lastModifiedBy/>
  <dcterms:modified xsi:type="dcterms:W3CDTF">2026-10-06T03:40:50Z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