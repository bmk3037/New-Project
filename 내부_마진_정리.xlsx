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마진 요약" sheetId="1" state="visible" r:id="rId3"/>
    <sheet name="품목별 견적단가" sheetId="2" state="visible" r:id="rId4"/>
    <sheet name="매입 구성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<sst xmlns="http://schemas.openxmlformats.org/spreadsheetml/2006/main" count="165" uniqueCount="71">
  <si>
    <r>
      <rPr>
        <b val="true"/>
        <sz val="15"/>
        <color rgb="FFC00000"/>
        <rFont val="WenQuanYi Zen Hei"/>
        <family val="2"/>
      </rPr>
      <t xml:space="preserve">견적 제출 시 마진 정리  </t>
    </r>
    <r>
      <rPr>
        <b val="true"/>
        <sz val="15"/>
        <color rgb="FFC00000"/>
        <rFont val="맑은 고딕"/>
        <family val="0"/>
        <charset val="1"/>
      </rPr>
      <t xml:space="preserve">[</t>
    </r>
    <r>
      <rPr>
        <b val="true"/>
        <sz val="15"/>
        <color rgb="FFC00000"/>
        <rFont val="WenQuanYi Zen Hei"/>
        <family val="2"/>
      </rPr>
      <t xml:space="preserve">내부용 — 외부 공유 금지</t>
    </r>
    <r>
      <rPr>
        <b val="true"/>
        <sz val="15"/>
        <color rgb="FFC00000"/>
        <rFont val="맑은 고딕"/>
        <family val="0"/>
        <charset val="1"/>
      </rPr>
      <t xml:space="preserve">]</t>
    </r>
  </si>
  <si>
    <r>
      <rPr>
        <sz val="9"/>
        <color rgb="FF595959"/>
        <rFont val="WenQuanYi Zen Hei"/>
        <family val="2"/>
      </rPr>
      <t xml:space="preserve">견적가 </t>
    </r>
    <r>
      <rPr>
        <sz val="9"/>
        <color rgb="FF595959"/>
        <rFont val="맑은 고딕"/>
        <family val="0"/>
        <charset val="1"/>
      </rPr>
      <t xml:space="preserve">= </t>
    </r>
    <r>
      <rPr>
        <sz val="9"/>
        <color rgb="FF595959"/>
        <rFont val="WenQuanYi Zen Hei"/>
        <family val="2"/>
      </rPr>
      <t xml:space="preserve">테크로스 제출 단가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타겟 프라이스</t>
    </r>
    <r>
      <rPr>
        <sz val="9"/>
        <color rgb="FF595959"/>
        <rFont val="맑은 고딕"/>
        <family val="0"/>
        <charset val="1"/>
      </rPr>
      <t xml:space="preserve">)  ·  </t>
    </r>
    <r>
      <rPr>
        <sz val="9"/>
        <color rgb="FF595959"/>
        <rFont val="WenQuanYi Zen Hei"/>
        <family val="2"/>
      </rPr>
      <t xml:space="preserve">매입가 </t>
    </r>
    <r>
      <rPr>
        <sz val="9"/>
        <color rgb="FF595959"/>
        <rFont val="맑은 고딕"/>
        <family val="0"/>
        <charset val="1"/>
      </rPr>
      <t xml:space="preserve">= Schneider </t>
    </r>
    <r>
      <rPr>
        <sz val="9"/>
        <color rgb="FF595959"/>
        <rFont val="WenQuanYi Zen Hei"/>
        <family val="2"/>
      </rPr>
      <t xml:space="preserve">협의 할인율 기준 </t>
    </r>
    <r>
      <rPr>
        <sz val="9"/>
        <color rgb="FF595959"/>
        <rFont val="맑은 고딕"/>
        <family val="0"/>
        <charset val="1"/>
      </rPr>
      <t xml:space="preserve">('</t>
    </r>
    <r>
      <rPr>
        <sz val="9"/>
        <color rgb="FF595959"/>
        <rFont val="WenQuanYi Zen Hei"/>
        <family val="2"/>
      </rPr>
      <t xml:space="preserve">매입 구성</t>
    </r>
    <r>
      <rPr>
        <sz val="9"/>
        <color rgb="FF595959"/>
        <rFont val="맑은 고딕"/>
        <family val="0"/>
        <charset val="1"/>
      </rPr>
      <t xml:space="preserve">' </t>
    </r>
    <r>
      <rPr>
        <sz val="9"/>
        <color rgb="FF595959"/>
        <rFont val="WenQuanYi Zen Hei"/>
        <family val="2"/>
      </rPr>
      <t xml:space="preserve">시트</t>
    </r>
    <r>
      <rPr>
        <sz val="9"/>
        <color rgb="FF595959"/>
        <rFont val="맑은 고딕"/>
        <family val="0"/>
        <charset val="1"/>
      </rPr>
      <t xml:space="preserve">)  ·  VAT </t>
    </r>
    <r>
      <rPr>
        <sz val="9"/>
        <color rgb="FF595959"/>
        <rFont val="WenQuanYi Zen Hei"/>
        <family val="2"/>
      </rPr>
      <t xml:space="preserve">별도</t>
    </r>
  </si>
  <si>
    <r>
      <rPr>
        <b val="true"/>
        <sz val="12"/>
        <color rgb="FF1F3864"/>
        <rFont val="맑은 고딕"/>
        <family val="0"/>
        <charset val="1"/>
      </rPr>
      <t xml:space="preserve">① DC24V</t>
    </r>
    <r>
      <rPr>
        <b val="true"/>
        <sz val="12"/>
        <color rgb="FF1F3864"/>
        <rFont val="WenQuanYi Zen Hei"/>
        <family val="2"/>
      </rPr>
      <t xml:space="preserve">로 납품 </t>
    </r>
    <r>
      <rPr>
        <b val="true"/>
        <sz val="12"/>
        <color rgb="FF1F3864"/>
        <rFont val="맑은 고딕"/>
        <family val="0"/>
        <charset val="1"/>
      </rPr>
      <t xml:space="preserve">(</t>
    </r>
    <r>
      <rPr>
        <b val="true"/>
        <sz val="12"/>
        <color rgb="FF1F3864"/>
        <rFont val="WenQuanYi Zen Hei"/>
        <family val="2"/>
      </rPr>
      <t xml:space="preserve">권장</t>
    </r>
    <r>
      <rPr>
        <b val="true"/>
        <sz val="12"/>
        <color rgb="FF1F3864"/>
        <rFont val="맑은 고딕"/>
        <family val="0"/>
        <charset val="1"/>
      </rPr>
      <t xml:space="preserve">)</t>
    </r>
  </si>
  <si>
    <t xml:space="preserve">프로젝트</t>
  </si>
  <si>
    <t xml:space="preserve">전원</t>
  </si>
  <si>
    <t xml:space="preserve">연간 수량</t>
  </si>
  <si>
    <r>
      <rPr>
        <b val="true"/>
        <sz val="9"/>
        <color rgb="FFFFFFFF"/>
        <rFont val="WenQuanYi Zen Hei"/>
        <family val="2"/>
      </rPr>
      <t xml:space="preserve">견적가 </t>
    </r>
    <r>
      <rPr>
        <b val="true"/>
        <sz val="9"/>
        <color rgb="FFFFFFFF"/>
        <rFont val="맑은 고딕"/>
        <family val="0"/>
        <charset val="1"/>
      </rPr>
      <t xml:space="preserve">(1</t>
    </r>
    <r>
      <rPr>
        <b val="true"/>
        <sz val="9"/>
        <color rgb="FFFFFFFF"/>
        <rFont val="WenQuanYi Zen Hei"/>
        <family val="2"/>
      </rPr>
      <t xml:space="preserve">대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</si>
  <si>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매입가 </t>
    </r>
    <r>
      <rPr>
        <b val="true"/>
        <sz val="9"/>
        <color rgb="FFFFFFFF"/>
        <rFont val="맑은 고딕"/>
        <family val="0"/>
        <charset val="1"/>
      </rPr>
      <t xml:space="preserve">(1</t>
    </r>
    <r>
      <rPr>
        <b val="true"/>
        <sz val="9"/>
        <color rgb="FFFFFFFF"/>
        <rFont val="WenQuanYi Zen Hei"/>
        <family val="2"/>
      </rPr>
      <t xml:space="preserve">대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</si>
  <si>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마진 </t>
    </r>
    <r>
      <rPr>
        <b val="true"/>
        <sz val="9"/>
        <color rgb="FFFFFFFF"/>
        <rFont val="맑은 고딕"/>
        <family val="0"/>
        <charset val="1"/>
      </rPr>
      <t xml:space="preserve">(1</t>
    </r>
    <r>
      <rPr>
        <b val="true"/>
        <sz val="9"/>
        <color rgb="FFFFFFFF"/>
        <rFont val="WenQuanYi Zen Hei"/>
        <family val="2"/>
      </rPr>
      <t xml:space="preserve">대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</si>
  <si>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t xml:space="preserve">마진율</t>
  </si>
  <si>
    <t xml:space="preserve">연간 매출</t>
  </si>
  <si>
    <t xml:space="preserve">연간 매입</t>
  </si>
  <si>
    <t xml:space="preserve">연간 마진</t>
  </si>
  <si>
    <t xml:space="preserve">TSU</t>
  </si>
  <si>
    <t xml:space="preserve">DC24V</t>
  </si>
  <si>
    <t xml:space="preserve">ANU</t>
  </si>
  <si>
    <t xml:space="preserve">ANU-S</t>
  </si>
  <si>
    <t xml:space="preserve">MCC</t>
  </si>
  <si>
    <t xml:space="preserve">합계</t>
  </si>
  <si>
    <r>
      <rPr>
        <b val="true"/>
        <sz val="12"/>
        <color rgb="FF1F3864"/>
        <rFont val="맑은 고딕"/>
        <family val="0"/>
        <charset val="1"/>
      </rPr>
      <t xml:space="preserve">② AC220V</t>
    </r>
    <r>
      <rPr>
        <b val="true"/>
        <sz val="12"/>
        <color rgb="FF1F3864"/>
        <rFont val="WenQuanYi Zen Hei"/>
        <family val="2"/>
      </rPr>
      <t xml:space="preserve">로 납품 </t>
    </r>
    <r>
      <rPr>
        <b val="true"/>
        <sz val="12"/>
        <color rgb="FF1F3864"/>
        <rFont val="맑은 고딕"/>
        <family val="0"/>
        <charset val="1"/>
      </rPr>
      <t xml:space="preserve">(MCC</t>
    </r>
    <r>
      <rPr>
        <b val="true"/>
        <sz val="12"/>
        <color rgb="FF1F3864"/>
        <rFont val="WenQuanYi Zen Hei"/>
        <family val="2"/>
      </rPr>
      <t xml:space="preserve">는 </t>
    </r>
    <r>
      <rPr>
        <b val="true"/>
        <sz val="12"/>
        <color rgb="FF1F3864"/>
        <rFont val="맑은 고딕"/>
        <family val="0"/>
        <charset val="1"/>
      </rPr>
      <t xml:space="preserve">DC24V)</t>
    </r>
  </si>
  <si>
    <t xml:space="preserve">AC220V</t>
  </si>
  <si>
    <r>
      <rPr>
        <b val="true"/>
        <sz val="14"/>
        <color rgb="FFC00000"/>
        <rFont val="WenQuanYi Zen Hei"/>
        <family val="2"/>
      </rPr>
      <t xml:space="preserve">품목별 견적 단가 배분  </t>
    </r>
    <r>
      <rPr>
        <b val="true"/>
        <sz val="14"/>
        <color rgb="FFC00000"/>
        <rFont val="맑은 고딕"/>
        <family val="0"/>
        <charset val="1"/>
      </rPr>
      <t xml:space="preserve">[</t>
    </r>
    <r>
      <rPr>
        <b val="true"/>
        <sz val="14"/>
        <color rgb="FFC00000"/>
        <rFont val="WenQuanYi Zen Hei"/>
        <family val="2"/>
      </rPr>
      <t xml:space="preserve">내부용</t>
    </r>
    <r>
      <rPr>
        <b val="true"/>
        <sz val="14"/>
        <color rgb="FFC00000"/>
        <rFont val="맑은 고딕"/>
        <family val="0"/>
        <charset val="1"/>
      </rPr>
      <t xml:space="preserve">]</t>
    </r>
  </si>
  <si>
    <r>
      <rPr>
        <sz val="9"/>
        <color rgb="FF595959"/>
        <rFont val="WenQuanYi Zen Hei"/>
        <family val="2"/>
      </rPr>
      <t xml:space="preserve">규칙</t>
    </r>
    <r>
      <rPr>
        <sz val="9"/>
        <color rgb="FF595959"/>
        <rFont val="맑은 고딕"/>
        <family val="0"/>
        <charset val="1"/>
      </rPr>
      <t xml:space="preserve">: ① </t>
    </r>
    <r>
      <rPr>
        <sz val="9"/>
        <color rgb="FF595959"/>
        <rFont val="WenQuanYi Zen Hei"/>
        <family val="2"/>
      </rPr>
      <t xml:space="preserve">같은 모델은 전 프로젝트 동일 단가  ② </t>
    </r>
    <r>
      <rPr>
        <sz val="9"/>
        <color rgb="FF595959"/>
        <rFont val="맑은 고딕"/>
        <family val="0"/>
        <charset val="1"/>
      </rPr>
      <t xml:space="preserve">TSU·ANU CPU = </t>
    </r>
    <r>
      <rPr>
        <sz val="9"/>
        <color rgb="FF595959"/>
        <rFont val="WenQuanYi Zen Hei"/>
        <family val="2"/>
      </rPr>
      <t xml:space="preserve">프로젝트 타겟  ③ </t>
    </r>
    <r>
      <rPr>
        <sz val="9"/>
        <color rgb="FF595959"/>
        <rFont val="맑은 고딕"/>
        <family val="0"/>
        <charset val="1"/>
      </rPr>
      <t xml:space="preserve">TM3AQ2 = ANU-S </t>
    </r>
    <r>
      <rPr>
        <sz val="9"/>
        <color rgb="FF595959"/>
        <rFont val="WenQuanYi Zen Hei"/>
        <family val="2"/>
      </rPr>
      <t xml:space="preserve">타겟 − </t>
    </r>
    <r>
      <rPr>
        <sz val="9"/>
        <color rgb="FF595959"/>
        <rFont val="맑은 고딕"/>
        <family val="0"/>
        <charset val="1"/>
      </rPr>
      <t xml:space="preserve">TSU </t>
    </r>
    <r>
      <rPr>
        <sz val="9"/>
        <color rgb="FF595959"/>
        <rFont val="WenQuanYi Zen Hei"/>
        <family val="2"/>
      </rPr>
      <t xml:space="preserve">타겟  ④ </t>
    </r>
    <r>
      <rPr>
        <sz val="9"/>
        <color rgb="FF595959"/>
        <rFont val="맑은 고딕"/>
        <family val="0"/>
        <charset val="1"/>
      </rPr>
      <t xml:space="preserve">MCC </t>
    </r>
    <r>
      <rPr>
        <sz val="9"/>
        <color rgb="FF595959"/>
        <rFont val="WenQuanYi Zen Hei"/>
        <family val="2"/>
      </rPr>
      <t xml:space="preserve">모듈 </t>
    </r>
    <r>
      <rPr>
        <sz val="9"/>
        <color rgb="FF595959"/>
        <rFont val="맑은 고딕"/>
        <family val="0"/>
        <charset val="1"/>
      </rPr>
      <t xml:space="preserve">= </t>
    </r>
    <r>
      <rPr>
        <sz val="9"/>
        <color rgb="FF595959"/>
        <rFont val="WenQuanYi Zen Hei"/>
        <family val="2"/>
      </rPr>
      <t xml:space="preserve">매입가 </t>
    </r>
    <r>
      <rPr>
        <sz val="9"/>
        <color rgb="FF595959"/>
        <rFont val="맑은 고딕"/>
        <family val="0"/>
        <charset val="1"/>
      </rPr>
      <t xml:space="preserve">× (MCC </t>
    </r>
    <r>
      <rPr>
        <sz val="9"/>
        <color rgb="FF595959"/>
        <rFont val="WenQuanYi Zen Hei"/>
        <family val="2"/>
      </rPr>
      <t xml:space="preserve">타겟 </t>
    </r>
    <r>
      <rPr>
        <sz val="9"/>
        <color rgb="FF595959"/>
        <rFont val="맑은 고딕"/>
        <family val="0"/>
        <charset val="1"/>
      </rPr>
      <t xml:space="preserve">÷ MCC </t>
    </r>
    <r>
      <rPr>
        <sz val="9"/>
        <color rgb="FF595959"/>
        <rFont val="WenQuanYi Zen Hei"/>
        <family val="2"/>
      </rPr>
      <t xml:space="preserve">매입 합계</t>
    </r>
    <r>
      <rPr>
        <sz val="9"/>
        <color rgb="FF595959"/>
        <rFont val="맑은 고딕"/>
        <family val="0"/>
        <charset val="1"/>
      </rPr>
      <t xml:space="preserve">), 100</t>
    </r>
    <r>
      <rPr>
        <sz val="9"/>
        <color rgb="FF595959"/>
        <rFont val="WenQuanYi Zen Hei"/>
        <family val="2"/>
      </rPr>
      <t xml:space="preserve">원 반올림  ⑤ </t>
    </r>
    <r>
      <rPr>
        <sz val="9"/>
        <color rgb="FF595959"/>
        <rFont val="맑은 고딕"/>
        <family val="0"/>
        <charset val="1"/>
      </rPr>
      <t xml:space="preserve">MCC CPU = </t>
    </r>
    <r>
      <rPr>
        <sz val="9"/>
        <color rgb="FF595959"/>
        <rFont val="WenQuanYi Zen Hei"/>
        <family val="2"/>
      </rPr>
      <t xml:space="preserve">나머지</t>
    </r>
  </si>
  <si>
    <t xml:space="preserve">프로젝트 타겟</t>
  </si>
  <si>
    <r>
      <rPr>
        <b val="true"/>
        <sz val="9"/>
        <color rgb="FF000000"/>
        <rFont val="맑은 고딕"/>
        <family val="0"/>
        <charset val="1"/>
      </rPr>
      <t xml:space="preserve">1</t>
    </r>
    <r>
      <rPr>
        <b val="true"/>
        <sz val="9"/>
        <color rgb="FF000000"/>
        <rFont val="WenQuanYi Zen Hei"/>
        <family val="2"/>
      </rPr>
      <t xml:space="preserve">대 견적가</t>
    </r>
  </si>
  <si>
    <t xml:space="preserve">모델</t>
  </si>
  <si>
    <t xml:space="preserve">사용</t>
  </si>
  <si>
    <r>
      <rPr>
        <b val="true"/>
        <sz val="9"/>
        <color rgb="FFFFFFFF"/>
        <rFont val="WenQuanYi Zen Hei"/>
        <family val="2"/>
      </rPr>
      <t xml:space="preserve">수량
</t>
    </r>
    <r>
      <rPr>
        <b val="true"/>
        <sz val="9"/>
        <color rgb="FFFFFFFF"/>
        <rFont val="맑은 고딕"/>
        <family val="0"/>
        <charset val="1"/>
      </rPr>
      <t xml:space="preserve">(MCC)</t>
    </r>
  </si>
  <si>
    <t xml:space="preserve">리스트가</t>
  </si>
  <si>
    <t xml:space="preserve">매입가</t>
  </si>
  <si>
    <t xml:space="preserve">견적 단가</t>
  </si>
  <si>
    <t xml:space="preserve">단가 마진</t>
  </si>
  <si>
    <t xml:space="preserve">배분 방식</t>
  </si>
  <si>
    <t xml:space="preserve">TM241C24T</t>
  </si>
  <si>
    <t xml:space="preserve">TSU·ANU-S</t>
  </si>
  <si>
    <r>
      <rPr>
        <sz val="8"/>
        <color rgb="FF595959"/>
        <rFont val="맑은 고딕"/>
        <family val="0"/>
        <charset val="1"/>
      </rPr>
      <t xml:space="preserve">TSU </t>
    </r>
    <r>
      <rPr>
        <sz val="8"/>
        <color rgb="FF595959"/>
        <rFont val="WenQuanYi Zen Hei"/>
        <family val="2"/>
      </rPr>
      <t xml:space="preserve">타겟</t>
    </r>
  </si>
  <si>
    <t xml:space="preserve">TM241C24R</t>
  </si>
  <si>
    <t xml:space="preserve">TM241C40T</t>
  </si>
  <si>
    <r>
      <rPr>
        <sz val="8"/>
        <color rgb="FF595959"/>
        <rFont val="맑은 고딕"/>
        <family val="0"/>
        <charset val="1"/>
      </rPr>
      <t xml:space="preserve">ANU </t>
    </r>
    <r>
      <rPr>
        <sz val="8"/>
        <color rgb="FF595959"/>
        <rFont val="WenQuanYi Zen Hei"/>
        <family val="2"/>
      </rPr>
      <t xml:space="preserve">타겟</t>
    </r>
  </si>
  <si>
    <t xml:space="preserve">TM241C40R</t>
  </si>
  <si>
    <t xml:space="preserve">TM3AQ2</t>
  </si>
  <si>
    <r>
      <rPr>
        <sz val="8"/>
        <color rgb="FF595959"/>
        <rFont val="맑은 고딕"/>
        <family val="0"/>
        <charset val="1"/>
      </rPr>
      <t xml:space="preserve">ANU-S </t>
    </r>
    <r>
      <rPr>
        <sz val="8"/>
        <color rgb="FF595959"/>
        <rFont val="WenQuanYi Zen Hei"/>
        <family val="2"/>
      </rPr>
      <t xml:space="preserve">타겟 − </t>
    </r>
    <r>
      <rPr>
        <sz val="8"/>
        <color rgb="FF595959"/>
        <rFont val="맑은 고딕"/>
        <family val="0"/>
        <charset val="1"/>
      </rPr>
      <t xml:space="preserve">TSU </t>
    </r>
    <r>
      <rPr>
        <sz val="8"/>
        <color rgb="FF595959"/>
        <rFont val="WenQuanYi Zen Hei"/>
        <family val="2"/>
      </rPr>
      <t xml:space="preserve">타겟</t>
    </r>
  </si>
  <si>
    <t xml:space="preserve">TM241CE40T</t>
  </si>
  <si>
    <r>
      <rPr>
        <sz val="8"/>
        <color rgb="FF595959"/>
        <rFont val="맑은 고딕"/>
        <family val="0"/>
        <charset val="1"/>
      </rPr>
      <t xml:space="preserve">MCC </t>
    </r>
    <r>
      <rPr>
        <sz val="8"/>
        <color rgb="FF595959"/>
        <rFont val="WenQuanYi Zen Hei"/>
        <family val="2"/>
      </rPr>
      <t xml:space="preserve">타겟 − 나머지 모듈 </t>
    </r>
    <r>
      <rPr>
        <sz val="8"/>
        <color rgb="FF595959"/>
        <rFont val="맑은 고딕"/>
        <family val="0"/>
        <charset val="1"/>
      </rPr>
      <t xml:space="preserve">(</t>
    </r>
    <r>
      <rPr>
        <sz val="8"/>
        <color rgb="FF595959"/>
        <rFont val="WenQuanYi Zen Hei"/>
        <family val="2"/>
      </rPr>
      <t xml:space="preserve">끝수 조정</t>
    </r>
    <r>
      <rPr>
        <sz val="8"/>
        <color rgb="FF595959"/>
        <rFont val="맑은 고딕"/>
        <family val="0"/>
        <charset val="1"/>
      </rPr>
      <t xml:space="preserve">)</t>
    </r>
  </si>
  <si>
    <t xml:space="preserve">TM3DI16</t>
  </si>
  <si>
    <t xml:space="preserve">매입가 비율 배분</t>
  </si>
  <si>
    <t xml:space="preserve">TM3DQ16T</t>
  </si>
  <si>
    <t xml:space="preserve">TM3DQ8T</t>
  </si>
  <si>
    <t xml:space="preserve">TM3AQ4</t>
  </si>
  <si>
    <t xml:space="preserve">TM3XTRA1</t>
  </si>
  <si>
    <t xml:space="preserve">TM3XREC1</t>
  </si>
  <si>
    <r>
      <rPr>
        <b val="true"/>
        <sz val="10"/>
        <color rgb="FF1F3864"/>
        <rFont val="WenQuanYi Zen Hei"/>
        <family val="2"/>
      </rPr>
      <t xml:space="preserve">검증 </t>
    </r>
    <r>
      <rPr>
        <b val="true"/>
        <sz val="10"/>
        <color rgb="FF1F3864"/>
        <rFont val="맑은 고딕"/>
        <family val="0"/>
        <charset val="1"/>
      </rPr>
      <t xml:space="preserve">(1</t>
    </r>
    <r>
      <rPr>
        <b val="true"/>
        <sz val="10"/>
        <color rgb="FF1F3864"/>
        <rFont val="WenQuanYi Zen Hei"/>
        <family val="2"/>
      </rPr>
      <t xml:space="preserve">대 합계 </t>
    </r>
    <r>
      <rPr>
        <b val="true"/>
        <sz val="10"/>
        <color rgb="FF1F3864"/>
        <rFont val="맑은 고딕"/>
        <family val="0"/>
        <charset val="1"/>
      </rPr>
      <t xml:space="preserve">= </t>
    </r>
    <r>
      <rPr>
        <b val="true"/>
        <sz val="10"/>
        <color rgb="FF1F3864"/>
        <rFont val="WenQuanYi Zen Hei"/>
        <family val="2"/>
      </rPr>
      <t xml:space="preserve">타겟</t>
    </r>
    <r>
      <rPr>
        <b val="true"/>
        <sz val="10"/>
        <color rgb="FF1F3864"/>
        <rFont val="맑은 고딕"/>
        <family val="0"/>
        <charset val="1"/>
      </rPr>
      <t xml:space="preserve">)</t>
    </r>
  </si>
  <si>
    <t xml:space="preserve">TSU DC</t>
  </si>
  <si>
    <t xml:space="preserve">ANU DC</t>
  </si>
  <si>
    <t xml:space="preserve">ANU-S DC</t>
  </si>
  <si>
    <t xml:space="preserve">ANU-S AC</t>
  </si>
  <si>
    <r>
      <rPr>
        <b val="true"/>
        <sz val="9"/>
        <color rgb="FFC00000"/>
        <rFont val="WenQuanYi Zen Hei"/>
        <family val="2"/>
      </rPr>
      <t xml:space="preserve">※ 견적서에 품목 단가가 모두 보이므로</t>
    </r>
    <r>
      <rPr>
        <b val="true"/>
        <sz val="9"/>
        <color rgb="FFC00000"/>
        <rFont val="맑은 고딕"/>
        <family val="0"/>
        <charset val="1"/>
      </rPr>
      <t xml:space="preserve">, </t>
    </r>
    <r>
      <rPr>
        <b val="true"/>
        <sz val="9"/>
        <color rgb="FFC00000"/>
        <rFont val="WenQuanYi Zen Hei"/>
        <family val="2"/>
      </rPr>
      <t xml:space="preserve">같은 견적서 안에서 비교됩니다</t>
    </r>
    <r>
      <rPr>
        <b val="true"/>
        <sz val="9"/>
        <color rgb="FFC00000"/>
        <rFont val="맑은 고딕"/>
        <family val="0"/>
        <charset val="1"/>
      </rPr>
      <t xml:space="preserve">: MCC CPU(TM241CE40T, </t>
    </r>
    <r>
      <rPr>
        <b val="true"/>
        <sz val="9"/>
        <color rgb="FFC00000"/>
        <rFont val="WenQuanYi Zen Hei"/>
        <family val="2"/>
      </rPr>
      <t xml:space="preserve">이더넷 포함</t>
    </r>
    <r>
      <rPr>
        <b val="true"/>
        <sz val="9"/>
        <color rgb="FFC00000"/>
        <rFont val="맑은 고딕"/>
        <family val="0"/>
        <charset val="1"/>
      </rPr>
      <t xml:space="preserve">)</t>
    </r>
    <r>
      <rPr>
        <b val="true"/>
        <sz val="9"/>
        <color rgb="FFC00000"/>
        <rFont val="WenQuanYi Zen Hei"/>
        <family val="2"/>
      </rPr>
      <t xml:space="preserve">가 </t>
    </r>
    <r>
      <rPr>
        <b val="true"/>
        <sz val="9"/>
        <color rgb="FFC00000"/>
        <rFont val="맑은 고딕"/>
        <family val="0"/>
        <charset val="1"/>
      </rPr>
      <t xml:space="preserve">ANU CPU(TM241C40T)</t>
    </r>
    <r>
      <rPr>
        <b val="true"/>
        <sz val="9"/>
        <color rgb="FFC00000"/>
        <rFont val="WenQuanYi Zen Hei"/>
        <family val="2"/>
      </rPr>
      <t xml:space="preserve">보다 싸게</t>
    </r>
    <r>
      <rPr>
        <b val="true"/>
        <sz val="9"/>
        <color rgb="FFC00000"/>
        <rFont val="맑은 고딕"/>
        <family val="0"/>
        <charset val="1"/>
      </rPr>
      <t xml:space="preserve">,</t>
    </r>
  </si>
  <si>
    <r>
      <rPr>
        <b val="true"/>
        <sz val="9"/>
        <color rgb="FFC00000"/>
        <rFont val="맑은 고딕"/>
        <family val="0"/>
        <charset val="1"/>
      </rPr>
      <t xml:space="preserve">    MCC </t>
    </r>
    <r>
      <rPr>
        <b val="true"/>
        <sz val="9"/>
        <color rgb="FFC00000"/>
        <rFont val="WenQuanYi Zen Hei"/>
        <family val="2"/>
      </rPr>
      <t xml:space="preserve">아날로그 출력 </t>
    </r>
    <r>
      <rPr>
        <b val="true"/>
        <sz val="9"/>
        <color rgb="FFC00000"/>
        <rFont val="맑은 고딕"/>
        <family val="0"/>
        <charset val="1"/>
      </rPr>
      <t xml:space="preserve">4CH(TM3AQ4)</t>
    </r>
    <r>
      <rPr>
        <b val="true"/>
        <sz val="9"/>
        <color rgb="FFC00000"/>
        <rFont val="WenQuanYi Zen Hei"/>
        <family val="2"/>
      </rPr>
      <t xml:space="preserve">가 </t>
    </r>
    <r>
      <rPr>
        <b val="true"/>
        <sz val="9"/>
        <color rgb="FFC00000"/>
        <rFont val="맑은 고딕"/>
        <family val="0"/>
        <charset val="1"/>
      </rPr>
      <t xml:space="preserve">ANU-S</t>
    </r>
    <r>
      <rPr>
        <b val="true"/>
        <sz val="9"/>
        <color rgb="FFC00000"/>
        <rFont val="WenQuanYi Zen Hei"/>
        <family val="2"/>
      </rPr>
      <t xml:space="preserve">의 </t>
    </r>
    <r>
      <rPr>
        <b val="true"/>
        <sz val="9"/>
        <color rgb="FFC00000"/>
        <rFont val="맑은 고딕"/>
        <family val="0"/>
        <charset val="1"/>
      </rPr>
      <t xml:space="preserve">2CH(TM3AQ2)</t>
    </r>
    <r>
      <rPr>
        <b val="true"/>
        <sz val="9"/>
        <color rgb="FFC00000"/>
        <rFont val="WenQuanYi Zen Hei"/>
        <family val="2"/>
      </rPr>
      <t xml:space="preserve">보다 싸게 보입니다</t>
    </r>
    <r>
      <rPr>
        <b val="true"/>
        <sz val="9"/>
        <color rgb="FFC00000"/>
        <rFont val="맑은 고딕"/>
        <family val="0"/>
        <charset val="1"/>
      </rPr>
      <t xml:space="preserve">. MCC </t>
    </r>
    <r>
      <rPr>
        <b val="true"/>
        <sz val="9"/>
        <color rgb="FFC00000"/>
        <rFont val="WenQuanYi Zen Hei"/>
        <family val="2"/>
      </rPr>
      <t xml:space="preserve">타겟</t>
    </r>
    <r>
      <rPr>
        <b val="true"/>
        <sz val="9"/>
        <color rgb="FFC00000"/>
        <rFont val="맑은 고딕"/>
        <family val="0"/>
        <charset val="1"/>
      </rPr>
      <t xml:space="preserve">(1,170,000)</t>
    </r>
    <r>
      <rPr>
        <b val="true"/>
        <sz val="9"/>
        <color rgb="FFC00000"/>
        <rFont val="WenQuanYi Zen Hei"/>
        <family val="2"/>
      </rPr>
      <t xml:space="preserve">이 다른 프로젝트보다 낮게 잡혀 생기는 현상입니다</t>
    </r>
    <r>
      <rPr>
        <b val="true"/>
        <sz val="9"/>
        <color rgb="FFC00000"/>
        <rFont val="맑은 고딕"/>
        <family val="0"/>
        <charset val="1"/>
      </rPr>
      <t xml:space="preserve">.</t>
    </r>
  </si>
  <si>
    <r>
      <rPr>
        <b val="true"/>
        <sz val="13"/>
        <color rgb="FF1F3864"/>
        <rFont val="WenQuanYi Zen Hei"/>
        <family val="2"/>
      </rPr>
      <t xml:space="preserve">매입 구성 </t>
    </r>
    <r>
      <rPr>
        <b val="true"/>
        <sz val="13"/>
        <color rgb="FF1F3864"/>
        <rFont val="맑은 고딕"/>
        <family val="0"/>
        <charset val="1"/>
      </rPr>
      <t xml:space="preserve">(Schneider </t>
    </r>
    <r>
      <rPr>
        <b val="true"/>
        <sz val="13"/>
        <color rgb="FF1F3864"/>
        <rFont val="WenQuanYi Zen Hei"/>
        <family val="2"/>
      </rPr>
      <t xml:space="preserve">협의 할인율</t>
    </r>
    <r>
      <rPr>
        <b val="true"/>
        <sz val="13"/>
        <color rgb="FF1F3864"/>
        <rFont val="맑은 고딕"/>
        <family val="0"/>
        <charset val="1"/>
      </rPr>
      <t xml:space="preserve">: CPU 0.40 / </t>
    </r>
    <r>
      <rPr>
        <b val="true"/>
        <sz val="13"/>
        <color rgb="FF1F3864"/>
        <rFont val="WenQuanYi Zen Hei"/>
        <family val="2"/>
      </rPr>
      <t xml:space="preserve">확장 모듈 </t>
    </r>
    <r>
      <rPr>
        <b val="true"/>
        <sz val="13"/>
        <color rgb="FF1F3864"/>
        <rFont val="맑은 고딕"/>
        <family val="0"/>
        <charset val="1"/>
      </rPr>
      <t xml:space="preserve">0.35)</t>
    </r>
  </si>
  <si>
    <r>
      <rPr>
        <sz val="9"/>
        <color rgb="FF595959"/>
        <rFont val="WenQuanYi Zen Hei"/>
        <family val="2"/>
      </rPr>
      <t xml:space="preserve">파란 글씨 </t>
    </r>
    <r>
      <rPr>
        <sz val="9"/>
        <color rgb="FF595959"/>
        <rFont val="맑은 고딕"/>
        <family val="0"/>
        <charset val="1"/>
      </rPr>
      <t xml:space="preserve">= </t>
    </r>
    <r>
      <rPr>
        <sz val="9"/>
        <color rgb="FF595959"/>
        <rFont val="WenQuanYi Zen Hei"/>
        <family val="2"/>
      </rPr>
      <t xml:space="preserve">입력값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리스트가 </t>
    </r>
    <r>
      <rPr>
        <sz val="9"/>
        <color rgb="FF595959"/>
        <rFont val="맑은 고딕"/>
        <family val="0"/>
        <charset val="1"/>
      </rPr>
      <t xml:space="preserve">· </t>
    </r>
    <r>
      <rPr>
        <sz val="9"/>
        <color rgb="FF595959"/>
        <rFont val="WenQuanYi Zen Hei"/>
        <family val="2"/>
      </rPr>
      <t xml:space="preserve">할인율 </t>
    </r>
    <r>
      <rPr>
        <sz val="9"/>
        <color rgb="FF595959"/>
        <rFont val="맑은 고딕"/>
        <family val="0"/>
        <charset val="1"/>
      </rPr>
      <t xml:space="preserve">· </t>
    </r>
    <r>
      <rPr>
        <sz val="9"/>
        <color rgb="FF595959"/>
        <rFont val="WenQuanYi Zen Hei"/>
        <family val="2"/>
      </rPr>
      <t xml:space="preserve">수량</t>
    </r>
    <r>
      <rPr>
        <sz val="9"/>
        <color rgb="FF595959"/>
        <rFont val="맑은 고딕"/>
        <family val="0"/>
        <charset val="1"/>
      </rPr>
      <t xml:space="preserve">). </t>
    </r>
    <r>
      <rPr>
        <sz val="9"/>
        <color rgb="FF595959"/>
        <rFont val="WenQuanYi Zen Hei"/>
        <family val="2"/>
      </rPr>
      <t xml:space="preserve">할인율이 바뀌면 여기만 고치면 됩니다</t>
    </r>
    <r>
      <rPr>
        <sz val="9"/>
        <color rgb="FF595959"/>
        <rFont val="맑은 고딕"/>
        <family val="0"/>
        <charset val="1"/>
      </rPr>
      <t xml:space="preserve">.</t>
    </r>
  </si>
  <si>
    <t xml:space="preserve">수량</t>
  </si>
  <si>
    <t xml:space="preserve">할인율</t>
  </si>
  <si>
    <t xml:space="preserve">매입 단가</t>
  </si>
  <si>
    <t xml:space="preserve">매입 금액</t>
  </si>
  <si>
    <r>
      <rPr>
        <b val="true"/>
        <sz val="9"/>
        <color rgb="FF000000"/>
        <rFont val="맑은 고딕"/>
        <family val="0"/>
        <charset val="1"/>
      </rPr>
      <t xml:space="preserve">TSU DC24V 1</t>
    </r>
    <r>
      <rPr>
        <b val="true"/>
        <sz val="9"/>
        <color rgb="FF000000"/>
        <rFont val="WenQuanYi Zen Hei"/>
        <family val="2"/>
      </rPr>
      <t xml:space="preserve">대 매입가</t>
    </r>
  </si>
  <si>
    <r>
      <rPr>
        <b val="true"/>
        <sz val="9"/>
        <color rgb="FF000000"/>
        <rFont val="맑은 고딕"/>
        <family val="0"/>
        <charset val="1"/>
      </rPr>
      <t xml:space="preserve">TSU AC220V 1</t>
    </r>
    <r>
      <rPr>
        <b val="true"/>
        <sz val="9"/>
        <color rgb="FF000000"/>
        <rFont val="WenQuanYi Zen Hei"/>
        <family val="2"/>
      </rPr>
      <t xml:space="preserve">대 매입가</t>
    </r>
  </si>
  <si>
    <r>
      <rPr>
        <b val="true"/>
        <sz val="9"/>
        <color rgb="FF000000"/>
        <rFont val="맑은 고딕"/>
        <family val="0"/>
        <charset val="1"/>
      </rPr>
      <t xml:space="preserve">ANU DC24V 1</t>
    </r>
    <r>
      <rPr>
        <b val="true"/>
        <sz val="9"/>
        <color rgb="FF000000"/>
        <rFont val="WenQuanYi Zen Hei"/>
        <family val="2"/>
      </rPr>
      <t xml:space="preserve">대 매입가</t>
    </r>
  </si>
  <si>
    <r>
      <rPr>
        <b val="true"/>
        <sz val="9"/>
        <color rgb="FF000000"/>
        <rFont val="맑은 고딕"/>
        <family val="0"/>
        <charset val="1"/>
      </rPr>
      <t xml:space="preserve">ANU AC220V 1</t>
    </r>
    <r>
      <rPr>
        <b val="true"/>
        <sz val="9"/>
        <color rgb="FF000000"/>
        <rFont val="WenQuanYi Zen Hei"/>
        <family val="2"/>
      </rPr>
      <t xml:space="preserve">대 매입가</t>
    </r>
  </si>
  <si>
    <r>
      <rPr>
        <b val="true"/>
        <sz val="9"/>
        <color rgb="FF000000"/>
        <rFont val="맑은 고딕"/>
        <family val="0"/>
        <charset val="1"/>
      </rPr>
      <t xml:space="preserve">ANU-S DC24V 1</t>
    </r>
    <r>
      <rPr>
        <b val="true"/>
        <sz val="9"/>
        <color rgb="FF000000"/>
        <rFont val="WenQuanYi Zen Hei"/>
        <family val="2"/>
      </rPr>
      <t xml:space="preserve">대 매입가</t>
    </r>
  </si>
  <si>
    <r>
      <rPr>
        <b val="true"/>
        <sz val="9"/>
        <color rgb="FF000000"/>
        <rFont val="맑은 고딕"/>
        <family val="0"/>
        <charset val="1"/>
      </rPr>
      <t xml:space="preserve">ANU-S AC220V 1</t>
    </r>
    <r>
      <rPr>
        <b val="true"/>
        <sz val="9"/>
        <color rgb="FF000000"/>
        <rFont val="WenQuanYi Zen Hei"/>
        <family val="2"/>
      </rPr>
      <t xml:space="preserve">대 매입가</t>
    </r>
  </si>
  <si>
    <r>
      <rPr>
        <b val="true"/>
        <sz val="9"/>
        <color rgb="FF000000"/>
        <rFont val="맑은 고딕"/>
        <family val="0"/>
        <charset val="1"/>
      </rPr>
      <t xml:space="preserve">MCC DC24V 1</t>
    </r>
    <r>
      <rPr>
        <b val="true"/>
        <sz val="9"/>
        <color rgb="FF000000"/>
        <rFont val="WenQuanYi Zen Hei"/>
        <family val="2"/>
      </rPr>
      <t xml:space="preserve">대 매입가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</si>
</sst>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-#,##0;\-"/>
    <numFmt numFmtId="166" formatCode="0.0%"/>
    <numFmt numFmtId="167" formatCode="0.00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C00000"/>
      <name val="WenQuanYi Zen Hei"/>
      <family val="2"/>
    </font>
    <font>
      <b val="true"/>
      <sz val="15"/>
      <color rgb="FFC00000"/>
      <name val="맑은 고딕"/>
      <family val="0"/>
      <charset val="1"/>
    </font>
    <font>
      <sz val="9"/>
      <color rgb="FF595959"/>
      <name val="WenQuanYi Zen Hei"/>
      <family val="2"/>
    </font>
    <font>
      <sz val="9"/>
      <color rgb="FF595959"/>
      <name val="맑은 고딕"/>
      <family val="0"/>
      <charset val="1"/>
    </font>
    <font>
      <b val="true"/>
      <sz val="12"/>
      <color rgb="FF1F3864"/>
      <name val="맑은 고딕"/>
      <family val="0"/>
      <charset val="1"/>
    </font>
    <font>
      <b val="true"/>
      <sz val="12"/>
      <color rgb="FF1F3864"/>
      <name val="WenQuanYi Zen Hei"/>
      <family val="2"/>
    </font>
    <font>
      <b val="true"/>
      <sz val="9"/>
      <color rgb="FFFFFFFF"/>
      <name val="WenQuanYi Zen Hei"/>
      <family val="2"/>
    </font>
    <font>
      <b val="true"/>
      <sz val="9"/>
      <color rgb="FFFFFFFF"/>
      <name val="맑은 고딕"/>
      <family val="0"/>
      <charset val="1"/>
    </font>
    <font>
      <b val="true"/>
      <sz val="10"/>
      <color rgb="FF000000"/>
      <name val="맑은 고딕"/>
      <family val="0"/>
      <charset val="1"/>
    </font>
    <font>
      <sz val="9"/>
      <color rgb="FF000000"/>
      <name val="맑은 고딕"/>
      <family val="0"/>
      <charset val="1"/>
    </font>
    <font>
      <sz val="9"/>
      <color rgb="FF0000FF"/>
      <name val="맑은 고딕"/>
      <family val="0"/>
      <charset val="1"/>
    </font>
    <font>
      <b val="true"/>
      <sz val="10"/>
      <color rgb="FF0000FF"/>
      <name val="맑은 고딕"/>
      <family val="0"/>
      <charset val="1"/>
    </font>
    <font>
      <sz val="9"/>
      <color rgb="FF008000"/>
      <name val="맑은 고딕"/>
      <family val="0"/>
      <charset val="1"/>
    </font>
    <font>
      <sz val="10"/>
      <color rgb="FF000000"/>
      <name val="맑은 고딕"/>
      <family val="0"/>
      <charset val="1"/>
    </font>
    <font>
      <b val="true"/>
      <sz val="10"/>
      <color rgb="FF000000"/>
      <name val="WenQuanYi Zen Hei"/>
      <family val="2"/>
    </font>
    <font>
      <b val="true"/>
      <sz val="11"/>
      <color rgb="FF1F3864"/>
      <name val="맑은 고딕"/>
      <family val="0"/>
      <charset val="1"/>
    </font>
    <font>
      <b val="true"/>
      <sz val="10"/>
      <color rgb="FF008000"/>
      <name val="맑은 고딕"/>
      <family val="0"/>
      <charset val="1"/>
    </font>
    <font>
      <b val="true"/>
      <sz val="11"/>
      <color rgb="FFC00000"/>
      <name val="맑은 고딕"/>
      <family val="0"/>
      <charset val="1"/>
    </font>
    <font>
      <b val="true"/>
      <sz val="14"/>
      <color rgb="FFC00000"/>
      <name val="WenQuanYi Zen Hei"/>
      <family val="2"/>
    </font>
    <font>
      <b val="true"/>
      <sz val="14"/>
      <color rgb="FFC00000"/>
      <name val="맑은 고딕"/>
      <family val="0"/>
      <charset val="1"/>
    </font>
    <font>
      <b val="true"/>
      <sz val="9"/>
      <color rgb="FF000000"/>
      <name val="WenQuanYi Zen Hei"/>
      <family val="2"/>
    </font>
    <font>
      <b val="true"/>
      <sz val="9"/>
      <color rgb="FF000000"/>
      <name val="맑은 고딕"/>
      <family val="0"/>
      <charset val="1"/>
    </font>
    <font>
      <sz val="8"/>
      <color rgb="FF000000"/>
      <name val="맑은 고딕"/>
      <family val="0"/>
      <charset val="1"/>
    </font>
    <font>
      <sz val="8"/>
      <color rgb="FF595959"/>
      <name val="맑은 고딕"/>
      <family val="0"/>
      <charset val="1"/>
    </font>
    <font>
      <sz val="8"/>
      <color rgb="FF595959"/>
      <name val="WenQuanYi Zen Hei"/>
      <family val="2"/>
    </font>
    <font>
      <b val="true"/>
      <sz val="10"/>
      <color rgb="FF1F3864"/>
      <name val="WenQuanYi Zen Hei"/>
      <family val="2"/>
    </font>
    <font>
      <b val="true"/>
      <sz val="10"/>
      <color rgb="FF1F3864"/>
      <name val="맑은 고딕"/>
      <family val="0"/>
      <charset val="1"/>
    </font>
    <font>
      <b val="true"/>
      <sz val="9"/>
      <color rgb="FF375623"/>
      <name val="WenQuanYi Zen Hei"/>
      <family val="2"/>
    </font>
    <font>
      <b val="true"/>
      <sz val="9"/>
      <color rgb="FFC00000"/>
      <name val="WenQuanYi Zen Hei"/>
      <family val="2"/>
    </font>
    <font>
      <b val="true"/>
      <sz val="9"/>
      <color rgb="FFC00000"/>
      <name val="맑은 고딕"/>
      <family val="0"/>
      <charset val="1"/>
    </font>
    <font>
      <b val="true"/>
      <sz val="13"/>
      <color rgb="FF1F3864"/>
      <name val="WenQuanYi Zen Hei"/>
      <family val="2"/>
    </font>
    <font>
      <b val="true"/>
      <sz val="13"/>
      <color rgb="FF1F3864"/>
      <name val="맑은 고딕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맑은 고딕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9"/>
    <col collapsed="false" customWidth="true" hidden="false" outlineLevel="0" max="5" min="4" style="0" width="13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10" min="8" style="0" width="14"/>
  </cols>
  <sheetData>
    <row r="1" customFormat="false" ht="20.1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27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5" hidden="false" customHeight="false" outlineLevel="0" collapsed="false">
      <c r="A6" s="5" t="s">
        <v>13</v>
      </c>
      <c r="B6" s="6" t="s">
        <v>14</v>
      </c>
      <c r="C6" s="7" t="n">
        <v>200</v>
      </c>
      <c r="D6" s="8" t="n">
        <v>494000</v>
      </c>
      <c r="E6" s="9" t="n">
        <f aca="false">'매입 구성'!H6</f>
        <v>349200</v>
      </c>
      <c r="F6" s="10" t="n">
        <f aca="false">D6-E6</f>
        <v>144800</v>
      </c>
      <c r="G6" s="11" t="n">
        <f aca="false">IFERROR(F6/D6,0)</f>
        <v>0.293117408906883</v>
      </c>
      <c r="H6" s="12" t="n">
        <f aca="false">C6*D6</f>
        <v>98800000</v>
      </c>
      <c r="I6" s="12" t="n">
        <f aca="false">C6*E6</f>
        <v>69840000</v>
      </c>
      <c r="J6" s="10" t="n">
        <f aca="false">C6*F6</f>
        <v>28960000</v>
      </c>
    </row>
    <row r="7" customFormat="false" ht="15" hidden="false" customHeight="false" outlineLevel="0" collapsed="false">
      <c r="A7" s="5" t="s">
        <v>15</v>
      </c>
      <c r="B7" s="6" t="s">
        <v>14</v>
      </c>
      <c r="C7" s="7" t="n">
        <v>300</v>
      </c>
      <c r="D7" s="8" t="n">
        <v>646000</v>
      </c>
      <c r="E7" s="9" t="n">
        <f aca="false">'매입 구성'!H12</f>
        <v>371200</v>
      </c>
      <c r="F7" s="10" t="n">
        <f aca="false">D7-E7</f>
        <v>274800</v>
      </c>
      <c r="G7" s="11" t="n">
        <f aca="false">IFERROR(F7/D7,0)</f>
        <v>0.425386996904025</v>
      </c>
      <c r="H7" s="12" t="n">
        <f aca="false">C7*D7</f>
        <v>193800000</v>
      </c>
      <c r="I7" s="12" t="n">
        <f aca="false">C7*E7</f>
        <v>111360000</v>
      </c>
      <c r="J7" s="10" t="n">
        <f aca="false">C7*F7</f>
        <v>82440000</v>
      </c>
    </row>
    <row r="8" customFormat="false" ht="15" hidden="false" customHeight="false" outlineLevel="0" collapsed="false">
      <c r="A8" s="5" t="s">
        <v>16</v>
      </c>
      <c r="B8" s="6" t="s">
        <v>14</v>
      </c>
      <c r="C8" s="7" t="n">
        <v>50</v>
      </c>
      <c r="D8" s="8" t="n">
        <v>646000</v>
      </c>
      <c r="E8" s="9" t="n">
        <f aca="false">'매입 구성'!H19</f>
        <v>470300</v>
      </c>
      <c r="F8" s="10" t="n">
        <f aca="false">D8-E8</f>
        <v>175700</v>
      </c>
      <c r="G8" s="11" t="n">
        <f aca="false">IFERROR(F8/D8,0)</f>
        <v>0.271981424148607</v>
      </c>
      <c r="H8" s="12" t="n">
        <f aca="false">C8*D8</f>
        <v>32300000</v>
      </c>
      <c r="I8" s="12" t="n">
        <f aca="false">C8*E8</f>
        <v>23515000</v>
      </c>
      <c r="J8" s="10" t="n">
        <f aca="false">C8*F8</f>
        <v>8785000</v>
      </c>
    </row>
    <row r="9" customFormat="false" ht="15" hidden="false" customHeight="false" outlineLevel="0" collapsed="false">
      <c r="A9" s="5" t="s">
        <v>17</v>
      </c>
      <c r="B9" s="6" t="s">
        <v>14</v>
      </c>
      <c r="C9" s="7" t="n">
        <v>100</v>
      </c>
      <c r="D9" s="8" t="n">
        <v>1170000</v>
      </c>
      <c r="E9" s="9" t="n">
        <f aca="false">'매입 구성'!H32</f>
        <v>1226900</v>
      </c>
      <c r="F9" s="10" t="n">
        <f aca="false">D9-E9</f>
        <v>-56900</v>
      </c>
      <c r="G9" s="11" t="n">
        <f aca="false">IFERROR(F9/D9,0)</f>
        <v>-0.0486324786324786</v>
      </c>
      <c r="H9" s="12" t="n">
        <f aca="false">C9*D9</f>
        <v>117000000</v>
      </c>
      <c r="I9" s="12" t="n">
        <f aca="false">C9*E9</f>
        <v>122690000</v>
      </c>
      <c r="J9" s="10" t="n">
        <f aca="false">C9*F9</f>
        <v>-5690000</v>
      </c>
    </row>
    <row r="10" customFormat="false" ht="24" hidden="false" customHeight="true" outlineLevel="0" collapsed="false">
      <c r="A10" s="13" t="s">
        <v>18</v>
      </c>
      <c r="B10" s="13"/>
      <c r="C10" s="13"/>
      <c r="D10" s="13"/>
      <c r="E10" s="13"/>
      <c r="F10" s="13"/>
      <c r="G10" s="14" t="n">
        <f aca="false">IFERROR(J10/H10,0)</f>
        <v>0.259097080787509</v>
      </c>
      <c r="H10" s="15" t="n">
        <f aca="false">SUM(H6:H9)</f>
        <v>441900000</v>
      </c>
      <c r="I10" s="15" t="n">
        <f aca="false">SUM(I6:I9)</f>
        <v>327405000</v>
      </c>
      <c r="J10" s="16" t="n">
        <f aca="false">SUM(J6:J9)</f>
        <v>114495000</v>
      </c>
    </row>
    <row r="12" customFormat="false" ht="21.75" hidden="false" customHeight="true" outlineLevel="0" collapsed="false">
      <c r="A12" s="3" t="s">
        <v>19</v>
      </c>
      <c r="B12" s="3"/>
      <c r="C12" s="3"/>
      <c r="D12" s="3"/>
      <c r="E12" s="3"/>
      <c r="F12" s="3"/>
      <c r="G12" s="3"/>
      <c r="H12" s="3"/>
      <c r="I12" s="3"/>
      <c r="J12" s="3"/>
    </row>
    <row r="13" customFormat="false" ht="27.75" hidden="false" customHeight="true" outlineLevel="0" collapsed="false">
      <c r="A13" s="4" t="s">
        <v>3</v>
      </c>
      <c r="B13" s="4" t="s">
        <v>4</v>
      </c>
      <c r="C13" s="4" t="s">
        <v>5</v>
      </c>
      <c r="D13" s="4" t="s">
        <v>6</v>
      </c>
      <c r="E13" s="4" t="s">
        <v>7</v>
      </c>
      <c r="F13" s="4" t="s">
        <v>8</v>
      </c>
      <c r="G13" s="4" t="s">
        <v>9</v>
      </c>
      <c r="H13" s="4" t="s">
        <v>10</v>
      </c>
      <c r="I13" s="4" t="s">
        <v>11</v>
      </c>
      <c r="J13" s="4" t="s">
        <v>12</v>
      </c>
    </row>
    <row r="14" customFormat="false" ht="15" hidden="false" customHeight="false" outlineLevel="0" collapsed="false">
      <c r="A14" s="5" t="s">
        <v>13</v>
      </c>
      <c r="B14" s="6" t="s">
        <v>20</v>
      </c>
      <c r="C14" s="7" t="n">
        <v>200</v>
      </c>
      <c r="D14" s="8" t="n">
        <v>494000</v>
      </c>
      <c r="E14" s="9" t="n">
        <f aca="false">'매입 구성'!H9</f>
        <v>342000</v>
      </c>
      <c r="F14" s="10" t="n">
        <f aca="false">D14-E14</f>
        <v>152000</v>
      </c>
      <c r="G14" s="11" t="n">
        <f aca="false">IFERROR(F14/D14,0)</f>
        <v>0.307692307692308</v>
      </c>
      <c r="H14" s="12" t="n">
        <f aca="false">C14*D14</f>
        <v>98800000</v>
      </c>
      <c r="I14" s="12" t="n">
        <f aca="false">C14*E14</f>
        <v>68400000</v>
      </c>
      <c r="J14" s="10" t="n">
        <f aca="false">C14*F14</f>
        <v>30400000</v>
      </c>
    </row>
    <row r="15" customFormat="false" ht="15" hidden="false" customHeight="false" outlineLevel="0" collapsed="false">
      <c r="A15" s="5" t="s">
        <v>15</v>
      </c>
      <c r="B15" s="6" t="s">
        <v>20</v>
      </c>
      <c r="C15" s="7" t="n">
        <v>300</v>
      </c>
      <c r="D15" s="8" t="n">
        <v>646000</v>
      </c>
      <c r="E15" s="9" t="n">
        <f aca="false">'매입 구성'!H15</f>
        <v>361200</v>
      </c>
      <c r="F15" s="10" t="n">
        <f aca="false">D15-E15</f>
        <v>284800</v>
      </c>
      <c r="G15" s="11" t="n">
        <f aca="false">IFERROR(F15/D15,0)</f>
        <v>0.440866873065016</v>
      </c>
      <c r="H15" s="12" t="n">
        <f aca="false">C15*D15</f>
        <v>193800000</v>
      </c>
      <c r="I15" s="12" t="n">
        <f aca="false">C15*E15</f>
        <v>108360000</v>
      </c>
      <c r="J15" s="10" t="n">
        <f aca="false">C15*F15</f>
        <v>85440000</v>
      </c>
    </row>
    <row r="16" customFormat="false" ht="15" hidden="false" customHeight="false" outlineLevel="0" collapsed="false">
      <c r="A16" s="5" t="s">
        <v>16</v>
      </c>
      <c r="B16" s="6" t="s">
        <v>20</v>
      </c>
      <c r="C16" s="7" t="n">
        <v>50</v>
      </c>
      <c r="D16" s="8" t="n">
        <v>646000</v>
      </c>
      <c r="E16" s="9" t="n">
        <f aca="false">'매입 구성'!H23</f>
        <v>463100</v>
      </c>
      <c r="F16" s="10" t="n">
        <f aca="false">D16-E16</f>
        <v>182900</v>
      </c>
      <c r="G16" s="11" t="n">
        <f aca="false">IFERROR(F16/D16,0)</f>
        <v>0.28312693498452</v>
      </c>
      <c r="H16" s="12" t="n">
        <f aca="false">C16*D16</f>
        <v>32300000</v>
      </c>
      <c r="I16" s="12" t="n">
        <f aca="false">C16*E16</f>
        <v>23155000</v>
      </c>
      <c r="J16" s="10" t="n">
        <f aca="false">C16*F16</f>
        <v>9145000</v>
      </c>
    </row>
    <row r="17" customFormat="false" ht="15" hidden="false" customHeight="false" outlineLevel="0" collapsed="false">
      <c r="A17" s="5" t="s">
        <v>17</v>
      </c>
      <c r="B17" s="6" t="s">
        <v>14</v>
      </c>
      <c r="C17" s="7" t="n">
        <v>100</v>
      </c>
      <c r="D17" s="17" t="n">
        <f aca="false">D9</f>
        <v>1170000</v>
      </c>
      <c r="E17" s="9" t="n">
        <f aca="false">'매입 구성'!H32</f>
        <v>1226900</v>
      </c>
      <c r="F17" s="10" t="n">
        <f aca="false">D17-E17</f>
        <v>-56900</v>
      </c>
      <c r="G17" s="11" t="n">
        <f aca="false">IFERROR(F17/D17,0)</f>
        <v>-0.0486324786324786</v>
      </c>
      <c r="H17" s="12" t="n">
        <f aca="false">C17*D17</f>
        <v>117000000</v>
      </c>
      <c r="I17" s="12" t="n">
        <f aca="false">C17*E17</f>
        <v>122690000</v>
      </c>
      <c r="J17" s="10" t="n">
        <f aca="false">C17*F17</f>
        <v>-5690000</v>
      </c>
    </row>
    <row r="18" customFormat="false" ht="24" hidden="false" customHeight="true" outlineLevel="0" collapsed="false">
      <c r="A18" s="13" t="s">
        <v>18</v>
      </c>
      <c r="B18" s="13"/>
      <c r="C18" s="13"/>
      <c r="D18" s="13"/>
      <c r="E18" s="13"/>
      <c r="F18" s="13"/>
      <c r="G18" s="14" t="n">
        <f aca="false">IFERROR(J18/H18,0)</f>
        <v>0.269959266802444</v>
      </c>
      <c r="H18" s="15" t="n">
        <f aca="false">SUM(H14:H17)</f>
        <v>441900000</v>
      </c>
      <c r="I18" s="15" t="n">
        <f aca="false">SUM(I14:I17)</f>
        <v>322605000</v>
      </c>
      <c r="J18" s="16" t="n">
        <f aca="false">SUM(J14:J17)</f>
        <v>119295000</v>
      </c>
    </row>
    <row r="20" customFormat="false" ht="21.75" hidden="false" customHeight="true" outlineLevel="0" collapsed="false">
      <c r="A20" s="18" t="str">
        <f aca="false">"▶ DC24V로 견적 제출 시: 연간 "&amp;TEXT(J10,"#,##0")&amp;"원 남습니다 (마진율 "&amp;TEXT(G10,"0.0%")&amp;")"</f>
        <v>▶ DC24V로 견적 제출 시: 연간 114,495,000원 남습니다 (마진율 25.9%)</v>
      </c>
      <c r="B20" s="18"/>
      <c r="C20" s="18"/>
      <c r="D20" s="18"/>
      <c r="E20" s="18"/>
      <c r="F20" s="18"/>
      <c r="G20" s="18"/>
      <c r="H20" s="18"/>
      <c r="I20" s="18"/>
      <c r="J20" s="18"/>
    </row>
    <row r="21" customFormat="false" ht="21.75" hidden="false" customHeight="true" outlineLevel="0" collapsed="false">
      <c r="A21" s="18" t="str">
        <f aca="false">"▶ AC220V로 견적 제출 시: 연간 "&amp;TEXT(J18,"#,##0")&amp;"원 남습니다 (마진율 "&amp;TEXT(G18,"0.0%")&amp;")"</f>
        <v>▶ AC220V로 견적 제출 시: 연간 119,295,000원 남습니다 (마진율 27.0%)</v>
      </c>
      <c r="B21" s="18"/>
      <c r="C21" s="18"/>
      <c r="D21" s="18"/>
      <c r="E21" s="18"/>
      <c r="F21" s="18"/>
      <c r="G21" s="18"/>
      <c r="H21" s="18"/>
      <c r="I21" s="18"/>
      <c r="J21" s="18"/>
    </row>
    <row r="22" customFormat="false" ht="21.75" hidden="false" customHeight="true" outlineLevel="0" collapsed="false">
      <c r="A22" s="19" t="str">
        <f aca="false">IF(F9&lt;0,"▶ MCC는 1대 "&amp;TEXT(F9,"#,##0")&amp;"원 ("&amp;TEXT(G9,"0.0%")&amp;"), 연 "&amp;TEXT(J9,"#,##0")&amp;"원 손실 — TSU · ANU · ANU-S 마진으로 흡수","▶ MCC 마진: 1대 "&amp;TEXT(F9,"#,##0")&amp;"원")</f>
        <v>▶ MCC는 1대 -56,900원 (-4.9%), 연 -5,690,000원 손실 — TSU · ANU · ANU-S 마진으로 흡수</v>
      </c>
      <c r="B22" s="19"/>
      <c r="C22" s="19"/>
      <c r="D22" s="19"/>
      <c r="E22" s="19"/>
      <c r="F22" s="19"/>
      <c r="G22" s="19"/>
      <c r="H22" s="19"/>
      <c r="I22" s="19"/>
      <c r="J22" s="19"/>
    </row>
  </sheetData>
  <mergeCells count="8">
    <mergeCell ref="A1:J1"/>
    <mergeCell ref="A4:J4"/>
    <mergeCell ref="A10:F10"/>
    <mergeCell ref="A12:J12"/>
    <mergeCell ref="A18:F18"/>
    <mergeCell ref="A20:J20"/>
    <mergeCell ref="A21:J21"/>
    <mergeCell ref="A22:J22"/>
  </mergeCells>
  <conditionalFormatting sqref="F6:J9">
    <cfRule type="expression" priority="2" aboveAverage="0" equalAverage="0" bottom="0" percent="0" rank="0" text="" dxfId="0">
      <formula>F6&lt;0</formula>
    </cfRule>
  </conditionalFormatting>
  <conditionalFormatting sqref="F14:J17">
    <cfRule type="expression" priority="3" aboveAverage="0" equalAverage="0" bottom="0" percent="0" rank="0" text="" dxfId="0">
      <formula>F14&lt;0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7" min="4" style="0" width="12"/>
    <col collapsed="false" customWidth="true" hidden="false" outlineLevel="0" max="8" min="8" style="0" width="10"/>
    <col collapsed="false" customWidth="true" hidden="false" outlineLevel="0" max="9" min="9" style="0" width="26"/>
    <col collapsed="false" customWidth="true" hidden="false" outlineLevel="0" max="10" min="10" style="0" width="10"/>
  </cols>
  <sheetData>
    <row r="1" customFormat="false" ht="19.4" hidden="false" customHeight="false" outlineLevel="0" collapsed="false">
      <c r="A1" s="20" t="s">
        <v>21</v>
      </c>
      <c r="B1" s="20"/>
      <c r="C1" s="20"/>
      <c r="D1" s="20"/>
      <c r="E1" s="20"/>
      <c r="F1" s="20"/>
      <c r="G1" s="20"/>
      <c r="H1" s="20"/>
      <c r="I1" s="20"/>
      <c r="J1" s="20"/>
    </row>
    <row r="2" customFormat="false" ht="15" hidden="false" customHeight="false" outlineLevel="0" collapsed="false">
      <c r="A2" s="2" t="s">
        <v>22</v>
      </c>
    </row>
    <row r="4" customFormat="false" ht="15" hidden="false" customHeight="false" outlineLevel="0" collapsed="false">
      <c r="A4" s="21" t="s">
        <v>23</v>
      </c>
      <c r="B4" s="22" t="s">
        <v>13</v>
      </c>
      <c r="C4" s="22" t="s">
        <v>15</v>
      </c>
      <c r="D4" s="22" t="s">
        <v>16</v>
      </c>
      <c r="E4" s="22" t="s">
        <v>17</v>
      </c>
    </row>
    <row r="5" customFormat="false" ht="15" hidden="false" customHeight="false" outlineLevel="0" collapsed="false">
      <c r="A5" s="23" t="s">
        <v>24</v>
      </c>
      <c r="B5" s="8" t="n">
        <v>494000</v>
      </c>
      <c r="C5" s="8" t="n">
        <v>646000</v>
      </c>
      <c r="D5" s="8" t="n">
        <v>646000</v>
      </c>
      <c r="E5" s="8" t="n">
        <v>1170000</v>
      </c>
    </row>
    <row r="7" customFormat="false" ht="27.75" hidden="false" customHeight="true" outlineLevel="0" collapsed="false">
      <c r="A7" s="4" t="s">
        <v>25</v>
      </c>
      <c r="B7" s="4" t="s">
        <v>26</v>
      </c>
      <c r="C7" s="4" t="s">
        <v>27</v>
      </c>
      <c r="D7" s="4" t="s">
        <v>28</v>
      </c>
      <c r="E7" s="4" t="s">
        <v>29</v>
      </c>
      <c r="F7" s="4" t="s">
        <v>30</v>
      </c>
      <c r="G7" s="4" t="s">
        <v>31</v>
      </c>
      <c r="H7" s="4" t="s">
        <v>9</v>
      </c>
      <c r="I7" s="4" t="s">
        <v>32</v>
      </c>
    </row>
    <row r="8" customFormat="false" ht="15" hidden="false" customHeight="false" outlineLevel="0" collapsed="false">
      <c r="A8" s="24" t="s">
        <v>33</v>
      </c>
      <c r="B8" s="25" t="s">
        <v>34</v>
      </c>
      <c r="C8" s="26"/>
      <c r="D8" s="27" t="n">
        <v>873000</v>
      </c>
      <c r="E8" s="28" t="n">
        <f aca="false">ROUND(D8*0.4,0)</f>
        <v>349200</v>
      </c>
      <c r="F8" s="10" t="n">
        <f aca="false">$B$5</f>
        <v>494000</v>
      </c>
      <c r="G8" s="28" t="n">
        <f aca="false">F8-E8</f>
        <v>144800</v>
      </c>
      <c r="H8" s="29" t="n">
        <f aca="false">IFERROR(G8/F8,0)</f>
        <v>0.293117408906883</v>
      </c>
      <c r="I8" s="30" t="s">
        <v>35</v>
      </c>
    </row>
    <row r="9" customFormat="false" ht="15" hidden="false" customHeight="false" outlineLevel="0" collapsed="false">
      <c r="A9" s="24" t="s">
        <v>36</v>
      </c>
      <c r="B9" s="25" t="s">
        <v>34</v>
      </c>
      <c r="C9" s="26"/>
      <c r="D9" s="27" t="n">
        <v>855000</v>
      </c>
      <c r="E9" s="28" t="n">
        <f aca="false">ROUND(D9*0.4,0)</f>
        <v>342000</v>
      </c>
      <c r="F9" s="10" t="n">
        <f aca="false">$B$5</f>
        <v>494000</v>
      </c>
      <c r="G9" s="28" t="n">
        <f aca="false">F9-E9</f>
        <v>152000</v>
      </c>
      <c r="H9" s="29" t="n">
        <f aca="false">IFERROR(G9/F9,0)</f>
        <v>0.307692307692308</v>
      </c>
      <c r="I9" s="30" t="s">
        <v>35</v>
      </c>
    </row>
    <row r="10" customFormat="false" ht="15" hidden="false" customHeight="false" outlineLevel="0" collapsed="false">
      <c r="A10" s="24" t="s">
        <v>37</v>
      </c>
      <c r="B10" s="25" t="s">
        <v>15</v>
      </c>
      <c r="C10" s="26"/>
      <c r="D10" s="27" t="n">
        <v>928000</v>
      </c>
      <c r="E10" s="28" t="n">
        <f aca="false">ROUND(D10*0.4,0)</f>
        <v>371200</v>
      </c>
      <c r="F10" s="10" t="n">
        <f aca="false">$C$5</f>
        <v>646000</v>
      </c>
      <c r="G10" s="28" t="n">
        <f aca="false">F10-E10</f>
        <v>274800</v>
      </c>
      <c r="H10" s="29" t="n">
        <f aca="false">IFERROR(G10/F10,0)</f>
        <v>0.425386996904025</v>
      </c>
      <c r="I10" s="30" t="s">
        <v>38</v>
      </c>
    </row>
    <row r="11" customFormat="false" ht="15" hidden="false" customHeight="false" outlineLevel="0" collapsed="false">
      <c r="A11" s="24" t="s">
        <v>39</v>
      </c>
      <c r="B11" s="25" t="s">
        <v>15</v>
      </c>
      <c r="C11" s="26"/>
      <c r="D11" s="27" t="n">
        <v>903000</v>
      </c>
      <c r="E11" s="28" t="n">
        <f aca="false">ROUND(D11*0.4,0)</f>
        <v>361200</v>
      </c>
      <c r="F11" s="10" t="n">
        <f aca="false">$C$5</f>
        <v>646000</v>
      </c>
      <c r="G11" s="28" t="n">
        <f aca="false">F11-E11</f>
        <v>284800</v>
      </c>
      <c r="H11" s="29" t="n">
        <f aca="false">IFERROR(G11/F11,0)</f>
        <v>0.440866873065016</v>
      </c>
      <c r="I11" s="30" t="s">
        <v>38</v>
      </c>
    </row>
    <row r="12" customFormat="false" ht="15" hidden="false" customHeight="false" outlineLevel="0" collapsed="false">
      <c r="A12" s="24" t="s">
        <v>40</v>
      </c>
      <c r="B12" s="25" t="s">
        <v>16</v>
      </c>
      <c r="C12" s="26"/>
      <c r="D12" s="27" t="n">
        <v>346000</v>
      </c>
      <c r="E12" s="28" t="n">
        <f aca="false">ROUND(D12*0.35,0)</f>
        <v>121100</v>
      </c>
      <c r="F12" s="10" t="n">
        <f aca="false">$D$5-$B$5</f>
        <v>152000</v>
      </c>
      <c r="G12" s="28" t="n">
        <f aca="false">F12-E12</f>
        <v>30900</v>
      </c>
      <c r="H12" s="29" t="n">
        <f aca="false">IFERROR(G12/F12,0)</f>
        <v>0.203289473684211</v>
      </c>
      <c r="I12" s="30" t="s">
        <v>41</v>
      </c>
    </row>
    <row r="13" customFormat="false" ht="15" hidden="false" customHeight="false" outlineLevel="0" collapsed="false">
      <c r="A13" s="24" t="s">
        <v>42</v>
      </c>
      <c r="B13" s="25" t="s">
        <v>17</v>
      </c>
      <c r="C13" s="6" t="n">
        <v>1</v>
      </c>
      <c r="D13" s="27" t="n">
        <v>920000</v>
      </c>
      <c r="E13" s="28" t="n">
        <f aca="false">ROUND(D13*0.4,0)</f>
        <v>368000</v>
      </c>
      <c r="F13" s="10" t="n">
        <f aca="false">$E$5-SUMPRODUCT($C$14:$C$19,$F$14:$F$19)</f>
        <v>350800</v>
      </c>
      <c r="G13" s="28" t="n">
        <f aca="false">F13-E13</f>
        <v>-17200</v>
      </c>
      <c r="H13" s="29" t="n">
        <f aca="false">IFERROR(G13/F13,0)</f>
        <v>-0.0490307867730901</v>
      </c>
      <c r="I13" s="30" t="s">
        <v>43</v>
      </c>
    </row>
    <row r="14" customFormat="false" ht="15" hidden="false" customHeight="false" outlineLevel="0" collapsed="false">
      <c r="A14" s="24" t="s">
        <v>44</v>
      </c>
      <c r="B14" s="25" t="s">
        <v>17</v>
      </c>
      <c r="C14" s="6" t="n">
        <v>5</v>
      </c>
      <c r="D14" s="27" t="n">
        <v>228000</v>
      </c>
      <c r="E14" s="28" t="n">
        <f aca="false">ROUND(D14*0.35,0)</f>
        <v>79800</v>
      </c>
      <c r="F14" s="10" t="n">
        <f aca="false">ROUND(E14*($E$5/SUMPRODUCT($C$13:$C$19,$E$13:$E$19)),-2)</f>
        <v>76100</v>
      </c>
      <c r="G14" s="28" t="n">
        <f aca="false">F14-E14</f>
        <v>-3700</v>
      </c>
      <c r="H14" s="29" t="n">
        <f aca="false">IFERROR(G14/F14,0)</f>
        <v>-0.0486202365308804</v>
      </c>
      <c r="I14" s="31" t="s">
        <v>45</v>
      </c>
    </row>
    <row r="15" customFormat="false" ht="15" hidden="false" customHeight="false" outlineLevel="0" collapsed="false">
      <c r="A15" s="24" t="s">
        <v>46</v>
      </c>
      <c r="B15" s="25" t="s">
        <v>17</v>
      </c>
      <c r="C15" s="6" t="n">
        <v>2</v>
      </c>
      <c r="D15" s="27" t="n">
        <v>227000</v>
      </c>
      <c r="E15" s="28" t="n">
        <f aca="false">ROUND(D15*0.35,0)</f>
        <v>79450</v>
      </c>
      <c r="F15" s="10" t="n">
        <f aca="false">ROUND(E15*($E$5/SUMPRODUCT($C$13:$C$19,$E$13:$E$19)),-2)</f>
        <v>75800</v>
      </c>
      <c r="G15" s="28" t="n">
        <f aca="false">F15-E15</f>
        <v>-3650</v>
      </c>
      <c r="H15" s="29" t="n">
        <f aca="false">IFERROR(G15/F15,0)</f>
        <v>-0.0481530343007916</v>
      </c>
      <c r="I15" s="31" t="s">
        <v>45</v>
      </c>
    </row>
    <row r="16" customFormat="false" ht="15" hidden="false" customHeight="false" outlineLevel="0" collapsed="false">
      <c r="A16" s="24" t="s">
        <v>47</v>
      </c>
      <c r="B16" s="25" t="s">
        <v>17</v>
      </c>
      <c r="C16" s="6" t="n">
        <v>1</v>
      </c>
      <c r="D16" s="27" t="n">
        <v>168000</v>
      </c>
      <c r="E16" s="28" t="n">
        <f aca="false">ROUND(D16*0.35,0)</f>
        <v>58800</v>
      </c>
      <c r="F16" s="10" t="n">
        <f aca="false">ROUND(E16*($E$5/SUMPRODUCT($C$13:$C$19,$E$13:$E$19)),-2)</f>
        <v>56100</v>
      </c>
      <c r="G16" s="28" t="n">
        <f aca="false">F16-E16</f>
        <v>-2700</v>
      </c>
      <c r="H16" s="29" t="n">
        <f aca="false">IFERROR(G16/F16,0)</f>
        <v>-0.0481283422459893</v>
      </c>
      <c r="I16" s="31" t="s">
        <v>45</v>
      </c>
    </row>
    <row r="17" customFormat="false" ht="15" hidden="false" customHeight="false" outlineLevel="0" collapsed="false">
      <c r="A17" s="24" t="s">
        <v>48</v>
      </c>
      <c r="B17" s="25" t="s">
        <v>17</v>
      </c>
      <c r="C17" s="6" t="n">
        <v>1</v>
      </c>
      <c r="D17" s="27" t="n">
        <v>351000</v>
      </c>
      <c r="E17" s="28" t="n">
        <f aca="false">ROUND(D17*0.35,0)</f>
        <v>122850</v>
      </c>
      <c r="F17" s="10" t="n">
        <f aca="false">ROUND(E17*($E$5/SUMPRODUCT($C$13:$C$19,$E$13:$E$19)),-2)</f>
        <v>117200</v>
      </c>
      <c r="G17" s="28" t="n">
        <f aca="false">F17-E17</f>
        <v>-5650</v>
      </c>
      <c r="H17" s="29" t="n">
        <f aca="false">IFERROR(G17/F17,0)</f>
        <v>-0.0482081911262799</v>
      </c>
      <c r="I17" s="31" t="s">
        <v>45</v>
      </c>
    </row>
    <row r="18" customFormat="false" ht="15" hidden="false" customHeight="false" outlineLevel="0" collapsed="false">
      <c r="A18" s="24" t="s">
        <v>49</v>
      </c>
      <c r="B18" s="25" t="s">
        <v>17</v>
      </c>
      <c r="C18" s="6" t="n">
        <v>1</v>
      </c>
      <c r="D18" s="27" t="n">
        <v>156000</v>
      </c>
      <c r="E18" s="28" t="n">
        <f aca="false">ROUND(D18*0.35,0)</f>
        <v>54600</v>
      </c>
      <c r="F18" s="10" t="n">
        <f aca="false">ROUND(E18*($E$5/SUMPRODUCT($C$13:$C$19,$E$13:$E$19)),-2)</f>
        <v>52100</v>
      </c>
      <c r="G18" s="28" t="n">
        <f aca="false">F18-E18</f>
        <v>-2500</v>
      </c>
      <c r="H18" s="29" t="n">
        <f aca="false">IFERROR(G18/F18,0)</f>
        <v>-0.0479846449136276</v>
      </c>
      <c r="I18" s="31" t="s">
        <v>45</v>
      </c>
    </row>
    <row r="19" customFormat="false" ht="15" hidden="false" customHeight="false" outlineLevel="0" collapsed="false">
      <c r="A19" s="24" t="s">
        <v>50</v>
      </c>
      <c r="B19" s="25" t="s">
        <v>17</v>
      </c>
      <c r="C19" s="6" t="n">
        <v>1</v>
      </c>
      <c r="D19" s="27" t="n">
        <v>185000</v>
      </c>
      <c r="E19" s="28" t="n">
        <f aca="false">ROUND(D19*0.35,0)</f>
        <v>64750</v>
      </c>
      <c r="F19" s="10" t="n">
        <f aca="false">ROUND(E19*($E$5/SUMPRODUCT($C$13:$C$19,$E$13:$E$19)),-2)</f>
        <v>61700</v>
      </c>
      <c r="G19" s="28" t="n">
        <f aca="false">F19-E19</f>
        <v>-3050</v>
      </c>
      <c r="H19" s="29" t="n">
        <f aca="false">IFERROR(G19/F19,0)</f>
        <v>-0.0494327390599676</v>
      </c>
      <c r="I19" s="31" t="s">
        <v>45</v>
      </c>
    </row>
    <row r="21" customFormat="false" ht="15" hidden="false" customHeight="false" outlineLevel="0" collapsed="false">
      <c r="A21" s="32" t="s">
        <v>51</v>
      </c>
    </row>
    <row r="22" customFormat="false" ht="15" hidden="false" customHeight="false" outlineLevel="0" collapsed="false">
      <c r="A22" s="33" t="s">
        <v>52</v>
      </c>
      <c r="B22" s="28" t="n">
        <f aca="false">F8</f>
        <v>494000</v>
      </c>
      <c r="C22" s="28"/>
      <c r="D22" s="34" t="str">
        <f aca="false">IF(F8=$B$5,"일치","불일치")</f>
        <v>일치</v>
      </c>
    </row>
    <row r="23" customFormat="false" ht="15" hidden="false" customHeight="false" outlineLevel="0" collapsed="false">
      <c r="A23" s="33" t="s">
        <v>53</v>
      </c>
      <c r="B23" s="28" t="n">
        <f aca="false">F10</f>
        <v>646000</v>
      </c>
      <c r="C23" s="28"/>
      <c r="D23" s="34" t="str">
        <f aca="false">IF(F10=$C$5,"일치","불일치")</f>
        <v>일치</v>
      </c>
    </row>
    <row r="24" customFormat="false" ht="15" hidden="false" customHeight="false" outlineLevel="0" collapsed="false">
      <c r="A24" s="33" t="s">
        <v>54</v>
      </c>
      <c r="B24" s="28" t="n">
        <f aca="false">F8+F12</f>
        <v>646000</v>
      </c>
      <c r="C24" s="28"/>
      <c r="D24" s="34" t="str">
        <f aca="false">IF(F8+F12=$D$5,"일치","불일치")</f>
        <v>일치</v>
      </c>
    </row>
    <row r="25" customFormat="false" ht="15" hidden="false" customHeight="false" outlineLevel="0" collapsed="false">
      <c r="A25" s="33" t="s">
        <v>55</v>
      </c>
      <c r="B25" s="28" t="n">
        <f aca="false">F9+F12</f>
        <v>646000</v>
      </c>
      <c r="C25" s="28"/>
      <c r="D25" s="34" t="str">
        <f aca="false">IF(F9+F12=$D$5,"일치","불일치")</f>
        <v>일치</v>
      </c>
    </row>
    <row r="26" customFormat="false" ht="15" hidden="false" customHeight="false" outlineLevel="0" collapsed="false">
      <c r="A26" s="33" t="s">
        <v>17</v>
      </c>
      <c r="B26" s="28" t="n">
        <f aca="false">SUMPRODUCT(C13:C19,F13:F19)</f>
        <v>1170000</v>
      </c>
      <c r="C26" s="28"/>
      <c r="D26" s="34" t="str">
        <f aca="false">IF(SUMPRODUCT(C13:C19,F13:F19)=$E$5,"일치","불일치")</f>
        <v>일치</v>
      </c>
    </row>
    <row r="28" customFormat="false" ht="15" hidden="false" customHeight="true" outlineLevel="0" collapsed="false">
      <c r="A28" s="35" t="s">
        <v>56</v>
      </c>
      <c r="B28" s="35"/>
      <c r="C28" s="35"/>
      <c r="D28" s="35"/>
      <c r="E28" s="35"/>
      <c r="F28" s="35"/>
      <c r="G28" s="35"/>
      <c r="H28" s="35"/>
      <c r="I28" s="35"/>
      <c r="J28" s="35"/>
    </row>
    <row r="29" customFormat="false" ht="15" hidden="false" customHeight="true" outlineLevel="0" collapsed="false">
      <c r="A29" s="36" t="s">
        <v>57</v>
      </c>
      <c r="B29" s="36"/>
      <c r="C29" s="36"/>
      <c r="D29" s="36"/>
      <c r="E29" s="36"/>
      <c r="F29" s="36"/>
      <c r="G29" s="36"/>
      <c r="H29" s="36"/>
      <c r="I29" s="36"/>
      <c r="J29" s="36"/>
    </row>
  </sheetData>
  <mergeCells count="8">
    <mergeCell ref="A1:J1"/>
    <mergeCell ref="B22:C22"/>
    <mergeCell ref="B23:C23"/>
    <mergeCell ref="B24:C24"/>
    <mergeCell ref="B25:C25"/>
    <mergeCell ref="B26:C26"/>
    <mergeCell ref="A28:J28"/>
    <mergeCell ref="A29:J29"/>
  </mergeCells>
  <conditionalFormatting sqref="G8:H19">
    <cfRule type="expression" priority="2" aboveAverage="0" equalAverage="0" bottom="0" percent="0" rank="0" text="" dxfId="0">
      <formula>G8&lt;0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3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13"/>
  </cols>
  <sheetData>
    <row r="1" customFormat="false" ht="17.15" hidden="false" customHeight="false" outlineLevel="0" collapsed="false">
      <c r="A1" s="37" t="s">
        <v>58</v>
      </c>
      <c r="B1" s="37"/>
      <c r="C1" s="37"/>
      <c r="D1" s="37"/>
      <c r="E1" s="37"/>
      <c r="F1" s="37"/>
      <c r="G1" s="37"/>
      <c r="H1" s="37"/>
    </row>
    <row r="2" customFormat="false" ht="15" hidden="false" customHeight="false" outlineLevel="0" collapsed="false">
      <c r="A2" s="2" t="s">
        <v>59</v>
      </c>
    </row>
    <row r="4" customFormat="false" ht="15" hidden="false" customHeight="false" outlineLevel="0" collapsed="false">
      <c r="A4" s="38" t="s">
        <v>3</v>
      </c>
      <c r="B4" s="38" t="s">
        <v>4</v>
      </c>
      <c r="C4" s="38" t="s">
        <v>25</v>
      </c>
      <c r="D4" s="38" t="s">
        <v>60</v>
      </c>
      <c r="E4" s="38" t="s">
        <v>28</v>
      </c>
      <c r="F4" s="38" t="s">
        <v>61</v>
      </c>
      <c r="G4" s="38" t="s">
        <v>62</v>
      </c>
      <c r="H4" s="38" t="s">
        <v>63</v>
      </c>
    </row>
    <row r="5" customFormat="false" ht="15" hidden="false" customHeight="false" outlineLevel="0" collapsed="false">
      <c r="A5" s="33" t="s">
        <v>13</v>
      </c>
      <c r="B5" s="6" t="s">
        <v>14</v>
      </c>
      <c r="C5" s="39" t="s">
        <v>33</v>
      </c>
      <c r="D5" s="40" t="n">
        <v>1</v>
      </c>
      <c r="E5" s="27" t="n">
        <v>873000</v>
      </c>
      <c r="F5" s="41" t="n">
        <v>0.4</v>
      </c>
      <c r="G5" s="28" t="n">
        <f aca="false">ROUND(E5*F5,0)</f>
        <v>349200</v>
      </c>
      <c r="H5" s="28" t="n">
        <f aca="false">D5*G5</f>
        <v>349200</v>
      </c>
    </row>
    <row r="6" customFormat="false" ht="15" hidden="false" customHeight="false" outlineLevel="0" collapsed="false">
      <c r="A6" s="42" t="s">
        <v>64</v>
      </c>
      <c r="B6" s="42"/>
      <c r="C6" s="42"/>
      <c r="D6" s="42"/>
      <c r="E6" s="42"/>
      <c r="F6" s="42"/>
      <c r="G6" s="42"/>
      <c r="H6" s="43" t="n">
        <f aca="false">SUM(H5:H5)</f>
        <v>349200</v>
      </c>
    </row>
    <row r="8" customFormat="false" ht="15" hidden="false" customHeight="false" outlineLevel="0" collapsed="false">
      <c r="A8" s="33" t="s">
        <v>13</v>
      </c>
      <c r="B8" s="6" t="s">
        <v>20</v>
      </c>
      <c r="C8" s="39" t="s">
        <v>36</v>
      </c>
      <c r="D8" s="40" t="n">
        <v>1</v>
      </c>
      <c r="E8" s="27" t="n">
        <v>855000</v>
      </c>
      <c r="F8" s="41" t="n">
        <v>0.4</v>
      </c>
      <c r="G8" s="28" t="n">
        <f aca="false">ROUND(E8*F8,0)</f>
        <v>342000</v>
      </c>
      <c r="H8" s="28" t="n">
        <f aca="false">D8*G8</f>
        <v>342000</v>
      </c>
    </row>
    <row r="9" customFormat="false" ht="15" hidden="false" customHeight="false" outlineLevel="0" collapsed="false">
      <c r="A9" s="42" t="s">
        <v>65</v>
      </c>
      <c r="B9" s="42"/>
      <c r="C9" s="42"/>
      <c r="D9" s="42"/>
      <c r="E9" s="42"/>
      <c r="F9" s="42"/>
      <c r="G9" s="42"/>
      <c r="H9" s="43" t="n">
        <f aca="false">SUM(H8:H8)</f>
        <v>342000</v>
      </c>
    </row>
    <row r="11" customFormat="false" ht="15" hidden="false" customHeight="false" outlineLevel="0" collapsed="false">
      <c r="A11" s="33" t="s">
        <v>15</v>
      </c>
      <c r="B11" s="6" t="s">
        <v>14</v>
      </c>
      <c r="C11" s="39" t="s">
        <v>37</v>
      </c>
      <c r="D11" s="40" t="n">
        <v>1</v>
      </c>
      <c r="E11" s="27" t="n">
        <v>928000</v>
      </c>
      <c r="F11" s="41" t="n">
        <v>0.4</v>
      </c>
      <c r="G11" s="28" t="n">
        <f aca="false">ROUND(E11*F11,0)</f>
        <v>371200</v>
      </c>
      <c r="H11" s="28" t="n">
        <f aca="false">D11*G11</f>
        <v>371200</v>
      </c>
    </row>
    <row r="12" customFormat="false" ht="15" hidden="false" customHeight="false" outlineLevel="0" collapsed="false">
      <c r="A12" s="42" t="s">
        <v>66</v>
      </c>
      <c r="B12" s="42"/>
      <c r="C12" s="42"/>
      <c r="D12" s="42"/>
      <c r="E12" s="42"/>
      <c r="F12" s="42"/>
      <c r="G12" s="42"/>
      <c r="H12" s="43" t="n">
        <f aca="false">SUM(H11:H11)</f>
        <v>371200</v>
      </c>
    </row>
    <row r="14" customFormat="false" ht="15" hidden="false" customHeight="false" outlineLevel="0" collapsed="false">
      <c r="A14" s="33" t="s">
        <v>15</v>
      </c>
      <c r="B14" s="6" t="s">
        <v>20</v>
      </c>
      <c r="C14" s="39" t="s">
        <v>39</v>
      </c>
      <c r="D14" s="40" t="n">
        <v>1</v>
      </c>
      <c r="E14" s="27" t="n">
        <v>903000</v>
      </c>
      <c r="F14" s="41" t="n">
        <v>0.4</v>
      </c>
      <c r="G14" s="28" t="n">
        <f aca="false">ROUND(E14*F14,0)</f>
        <v>361200</v>
      </c>
      <c r="H14" s="28" t="n">
        <f aca="false">D14*G14</f>
        <v>361200</v>
      </c>
    </row>
    <row r="15" customFormat="false" ht="15" hidden="false" customHeight="false" outlineLevel="0" collapsed="false">
      <c r="A15" s="42" t="s">
        <v>67</v>
      </c>
      <c r="B15" s="42"/>
      <c r="C15" s="42"/>
      <c r="D15" s="42"/>
      <c r="E15" s="42"/>
      <c r="F15" s="42"/>
      <c r="G15" s="42"/>
      <c r="H15" s="43" t="n">
        <f aca="false">SUM(H14:H14)</f>
        <v>361200</v>
      </c>
    </row>
    <row r="17" customFormat="false" ht="15" hidden="false" customHeight="false" outlineLevel="0" collapsed="false">
      <c r="A17" s="33" t="s">
        <v>16</v>
      </c>
      <c r="B17" s="6" t="s">
        <v>14</v>
      </c>
      <c r="C17" s="39" t="s">
        <v>33</v>
      </c>
      <c r="D17" s="40" t="n">
        <v>1</v>
      </c>
      <c r="E17" s="27" t="n">
        <v>873000</v>
      </c>
      <c r="F17" s="41" t="n">
        <v>0.4</v>
      </c>
      <c r="G17" s="28" t="n">
        <f aca="false">ROUND(E17*F17,0)</f>
        <v>349200</v>
      </c>
      <c r="H17" s="28" t="n">
        <f aca="false">D17*G17</f>
        <v>349200</v>
      </c>
    </row>
    <row r="18" customFormat="false" ht="15" hidden="false" customHeight="false" outlineLevel="0" collapsed="false">
      <c r="A18" s="33" t="s">
        <v>16</v>
      </c>
      <c r="B18" s="6" t="s">
        <v>14</v>
      </c>
      <c r="C18" s="39" t="s">
        <v>40</v>
      </c>
      <c r="D18" s="40" t="n">
        <v>1</v>
      </c>
      <c r="E18" s="27" t="n">
        <v>346000</v>
      </c>
      <c r="F18" s="41" t="n">
        <v>0.35</v>
      </c>
      <c r="G18" s="28" t="n">
        <f aca="false">ROUND(E18*F18,0)</f>
        <v>121100</v>
      </c>
      <c r="H18" s="28" t="n">
        <f aca="false">D18*G18</f>
        <v>121100</v>
      </c>
    </row>
    <row r="19" customFormat="false" ht="15" hidden="false" customHeight="false" outlineLevel="0" collapsed="false">
      <c r="A19" s="42" t="s">
        <v>68</v>
      </c>
      <c r="B19" s="42"/>
      <c r="C19" s="42"/>
      <c r="D19" s="42"/>
      <c r="E19" s="42"/>
      <c r="F19" s="42"/>
      <c r="G19" s="42"/>
      <c r="H19" s="43" t="n">
        <f aca="false">SUM(H17:H18)</f>
        <v>470300</v>
      </c>
    </row>
    <row r="21" customFormat="false" ht="15" hidden="false" customHeight="false" outlineLevel="0" collapsed="false">
      <c r="A21" s="33" t="s">
        <v>16</v>
      </c>
      <c r="B21" s="6" t="s">
        <v>20</v>
      </c>
      <c r="C21" s="39" t="s">
        <v>36</v>
      </c>
      <c r="D21" s="40" t="n">
        <v>1</v>
      </c>
      <c r="E21" s="27" t="n">
        <v>855000</v>
      </c>
      <c r="F21" s="41" t="n">
        <v>0.4</v>
      </c>
      <c r="G21" s="28" t="n">
        <f aca="false">ROUND(E21*F21,0)</f>
        <v>342000</v>
      </c>
      <c r="H21" s="28" t="n">
        <f aca="false">D21*G21</f>
        <v>342000</v>
      </c>
    </row>
    <row r="22" customFormat="false" ht="15" hidden="false" customHeight="false" outlineLevel="0" collapsed="false">
      <c r="A22" s="33" t="s">
        <v>16</v>
      </c>
      <c r="B22" s="6" t="s">
        <v>20</v>
      </c>
      <c r="C22" s="39" t="s">
        <v>40</v>
      </c>
      <c r="D22" s="40" t="n">
        <v>1</v>
      </c>
      <c r="E22" s="27" t="n">
        <v>346000</v>
      </c>
      <c r="F22" s="41" t="n">
        <v>0.35</v>
      </c>
      <c r="G22" s="28" t="n">
        <f aca="false">ROUND(E22*F22,0)</f>
        <v>121100</v>
      </c>
      <c r="H22" s="28" t="n">
        <f aca="false">D22*G22</f>
        <v>121100</v>
      </c>
    </row>
    <row r="23" customFormat="false" ht="15" hidden="false" customHeight="false" outlineLevel="0" collapsed="false">
      <c r="A23" s="42" t="s">
        <v>69</v>
      </c>
      <c r="B23" s="42"/>
      <c r="C23" s="42"/>
      <c r="D23" s="42"/>
      <c r="E23" s="42"/>
      <c r="F23" s="42"/>
      <c r="G23" s="42"/>
      <c r="H23" s="43" t="n">
        <f aca="false">SUM(H21:H22)</f>
        <v>463100</v>
      </c>
    </row>
    <row r="25" customFormat="false" ht="15" hidden="false" customHeight="false" outlineLevel="0" collapsed="false">
      <c r="A25" s="33" t="s">
        <v>17</v>
      </c>
      <c r="B25" s="6" t="s">
        <v>14</v>
      </c>
      <c r="C25" s="39" t="s">
        <v>42</v>
      </c>
      <c r="D25" s="40" t="n">
        <v>1</v>
      </c>
      <c r="E25" s="27" t="n">
        <v>920000</v>
      </c>
      <c r="F25" s="41" t="n">
        <v>0.4</v>
      </c>
      <c r="G25" s="28" t="n">
        <f aca="false">ROUND(E25*F25,0)</f>
        <v>368000</v>
      </c>
      <c r="H25" s="28" t="n">
        <f aca="false">D25*G25</f>
        <v>368000</v>
      </c>
    </row>
    <row r="26" customFormat="false" ht="15" hidden="false" customHeight="false" outlineLevel="0" collapsed="false">
      <c r="A26" s="33" t="s">
        <v>17</v>
      </c>
      <c r="B26" s="6" t="s">
        <v>14</v>
      </c>
      <c r="C26" s="39" t="s">
        <v>44</v>
      </c>
      <c r="D26" s="40" t="n">
        <v>5</v>
      </c>
      <c r="E26" s="27" t="n">
        <v>228000</v>
      </c>
      <c r="F26" s="41" t="n">
        <v>0.35</v>
      </c>
      <c r="G26" s="28" t="n">
        <f aca="false">ROUND(E26*F26,0)</f>
        <v>79800</v>
      </c>
      <c r="H26" s="28" t="n">
        <f aca="false">D26*G26</f>
        <v>399000</v>
      </c>
    </row>
    <row r="27" customFormat="false" ht="15" hidden="false" customHeight="false" outlineLevel="0" collapsed="false">
      <c r="A27" s="33" t="s">
        <v>17</v>
      </c>
      <c r="B27" s="6" t="s">
        <v>14</v>
      </c>
      <c r="C27" s="39" t="s">
        <v>46</v>
      </c>
      <c r="D27" s="40" t="n">
        <v>2</v>
      </c>
      <c r="E27" s="27" t="n">
        <v>227000</v>
      </c>
      <c r="F27" s="41" t="n">
        <v>0.35</v>
      </c>
      <c r="G27" s="28" t="n">
        <f aca="false">ROUND(E27*F27,0)</f>
        <v>79450</v>
      </c>
      <c r="H27" s="28" t="n">
        <f aca="false">D27*G27</f>
        <v>158900</v>
      </c>
    </row>
    <row r="28" customFormat="false" ht="15" hidden="false" customHeight="false" outlineLevel="0" collapsed="false">
      <c r="A28" s="33" t="s">
        <v>17</v>
      </c>
      <c r="B28" s="6" t="s">
        <v>14</v>
      </c>
      <c r="C28" s="39" t="s">
        <v>47</v>
      </c>
      <c r="D28" s="40" t="n">
        <v>1</v>
      </c>
      <c r="E28" s="27" t="n">
        <v>168000</v>
      </c>
      <c r="F28" s="41" t="n">
        <v>0.35</v>
      </c>
      <c r="G28" s="28" t="n">
        <f aca="false">ROUND(E28*F28,0)</f>
        <v>58800</v>
      </c>
      <c r="H28" s="28" t="n">
        <f aca="false">D28*G28</f>
        <v>58800</v>
      </c>
    </row>
    <row r="29" customFormat="false" ht="15" hidden="false" customHeight="false" outlineLevel="0" collapsed="false">
      <c r="A29" s="33" t="s">
        <v>17</v>
      </c>
      <c r="B29" s="6" t="s">
        <v>14</v>
      </c>
      <c r="C29" s="39" t="s">
        <v>48</v>
      </c>
      <c r="D29" s="40" t="n">
        <v>1</v>
      </c>
      <c r="E29" s="27" t="n">
        <v>351000</v>
      </c>
      <c r="F29" s="41" t="n">
        <v>0.35</v>
      </c>
      <c r="G29" s="28" t="n">
        <f aca="false">ROUND(E29*F29,0)</f>
        <v>122850</v>
      </c>
      <c r="H29" s="28" t="n">
        <f aca="false">D29*G29</f>
        <v>122850</v>
      </c>
    </row>
    <row r="30" customFormat="false" ht="15" hidden="false" customHeight="false" outlineLevel="0" collapsed="false">
      <c r="A30" s="33" t="s">
        <v>17</v>
      </c>
      <c r="B30" s="6" t="s">
        <v>14</v>
      </c>
      <c r="C30" s="39" t="s">
        <v>49</v>
      </c>
      <c r="D30" s="40" t="n">
        <v>1</v>
      </c>
      <c r="E30" s="27" t="n">
        <v>156000</v>
      </c>
      <c r="F30" s="41" t="n">
        <v>0.35</v>
      </c>
      <c r="G30" s="28" t="n">
        <f aca="false">ROUND(E30*F30,0)</f>
        <v>54600</v>
      </c>
      <c r="H30" s="28" t="n">
        <f aca="false">D30*G30</f>
        <v>54600</v>
      </c>
    </row>
    <row r="31" customFormat="false" ht="15" hidden="false" customHeight="false" outlineLevel="0" collapsed="false">
      <c r="A31" s="33" t="s">
        <v>17</v>
      </c>
      <c r="B31" s="6" t="s">
        <v>14</v>
      </c>
      <c r="C31" s="39" t="s">
        <v>50</v>
      </c>
      <c r="D31" s="40" t="n">
        <v>1</v>
      </c>
      <c r="E31" s="27" t="n">
        <v>185000</v>
      </c>
      <c r="F31" s="41" t="n">
        <v>0.35</v>
      </c>
      <c r="G31" s="28" t="n">
        <f aca="false">ROUND(E31*F31,0)</f>
        <v>64750</v>
      </c>
      <c r="H31" s="28" t="n">
        <f aca="false">D31*G31</f>
        <v>64750</v>
      </c>
    </row>
    <row r="32" customFormat="false" ht="15" hidden="false" customHeight="false" outlineLevel="0" collapsed="false">
      <c r="A32" s="42" t="s">
        <v>70</v>
      </c>
      <c r="B32" s="42"/>
      <c r="C32" s="42"/>
      <c r="D32" s="42"/>
      <c r="E32" s="42"/>
      <c r="F32" s="42"/>
      <c r="G32" s="42"/>
      <c r="H32" s="43" t="n">
        <f aca="false">SUM(H25:H31)</f>
        <v>1226900</v>
      </c>
    </row>
  </sheetData>
  <mergeCells count="8">
    <mergeCell ref="A1:H1"/>
    <mergeCell ref="A6:G6"/>
    <mergeCell ref="A9:G9"/>
    <mergeCell ref="A12:G12"/>
    <mergeCell ref="A15:G15"/>
    <mergeCell ref="A19:G19"/>
    <mergeCell ref="A23:G23"/>
    <mergeCell ref="A32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2026-10-06T04:11:43Z</dcterms:created>
  <dc:creator>openpyxl</dc:creator>
  <dc:description/>
  <dc:language>en-US</dc:language>
  <cp:lastModifiedBy/>
  <dcterms:modified xsi:type="dcterms:W3CDTF">2026-10-06T04:11:43Z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