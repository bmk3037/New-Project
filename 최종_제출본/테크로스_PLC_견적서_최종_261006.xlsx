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056F948-9A91-4CAA-B948-0A677415C69E}" xr6:coauthVersionLast="47" xr6:coauthVersionMax="47" xr10:uidLastSave="{00000000-0000-0000-0000-000000000000}"/>
  <bookViews>
    <workbookView xWindow="19470" yWindow="150" windowWidth="21225" windowHeight="15345" tabRatio="500" xr2:uid="{00000000-000D-0000-FFFF-FFFF00000000}"/>
  </bookViews>
  <sheets>
    <sheet name="견적서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8" i="1" l="1"/>
  <c r="H37" i="1"/>
  <c r="H39" i="1" s="1"/>
  <c r="D46" i="1" s="1"/>
  <c r="H46" i="1" s="1"/>
  <c r="H35" i="1"/>
  <c r="H36" i="1" s="1"/>
  <c r="D45" i="1" s="1"/>
  <c r="H45" i="1" s="1"/>
  <c r="H33" i="1"/>
  <c r="H34" i="1" s="1"/>
  <c r="D44" i="1" s="1"/>
  <c r="H44" i="1" s="1"/>
  <c r="H28" i="1"/>
  <c r="H27" i="1"/>
  <c r="H26" i="1"/>
  <c r="H25" i="1"/>
  <c r="H24" i="1"/>
  <c r="H23" i="1"/>
  <c r="H22" i="1"/>
  <c r="H20" i="1"/>
  <c r="H19" i="1"/>
  <c r="H21" i="1" s="1"/>
  <c r="C46" i="1" s="1"/>
  <c r="G46" i="1" s="1"/>
  <c r="H17" i="1"/>
  <c r="H18" i="1" s="1"/>
  <c r="C45" i="1" s="1"/>
  <c r="G45" i="1" s="1"/>
  <c r="H15" i="1"/>
  <c r="H16" i="1" s="1"/>
  <c r="C44" i="1" s="1"/>
  <c r="G44" i="1" s="1"/>
  <c r="H29" i="1" l="1"/>
  <c r="D47" i="1" l="1"/>
  <c r="H47" i="1" s="1"/>
  <c r="H48" i="1" s="1"/>
  <c r="E11" i="1" s="1"/>
  <c r="C47" i="1"/>
  <c r="G47" i="1" s="1"/>
  <c r="G48" i="1" s="1"/>
  <c r="E10" i="1" s="1"/>
</calcChain>
</file>

<file path=xl/sharedStrings.xml><?xml version="1.0" encoding="utf-8"?>
<sst xmlns="http://schemas.openxmlformats.org/spreadsheetml/2006/main" count="125" uniqueCount="88">
  <si>
    <t>견   적   서</t>
  </si>
  <si>
    <t>견적번호</t>
  </si>
  <si>
    <t>[        ]</t>
  </si>
  <si>
    <t>공
급
자</t>
  </si>
  <si>
    <t>상호</t>
  </si>
  <si>
    <r>
      <rPr>
        <sz val="9"/>
        <color rgb="FF0000FF"/>
        <rFont val="맑은 고딕"/>
        <family val="3"/>
        <charset val="129"/>
      </rPr>
      <t>[</t>
    </r>
    <r>
      <rPr>
        <sz val="9"/>
        <color rgb="FF0000FF"/>
        <rFont val="WenQuanYi Zen Hei"/>
        <family val="2"/>
      </rPr>
      <t>회사명</t>
    </r>
    <r>
      <rPr>
        <sz val="9"/>
        <color rgb="FF0000FF"/>
        <rFont val="맑은 고딕"/>
        <family val="3"/>
        <charset val="129"/>
      </rPr>
      <t>]</t>
    </r>
  </si>
  <si>
    <t>견적일자</t>
  </si>
  <si>
    <r>
      <rPr>
        <sz val="9"/>
        <color rgb="FF000000"/>
        <rFont val="맑은 고딕"/>
        <family val="3"/>
        <charset val="129"/>
      </rPr>
      <t>2026</t>
    </r>
    <r>
      <rPr>
        <sz val="9"/>
        <color rgb="FF000000"/>
        <rFont val="WenQuanYi Zen Hei"/>
        <family val="2"/>
      </rPr>
      <t xml:space="preserve">년 </t>
    </r>
    <r>
      <rPr>
        <sz val="9"/>
        <color rgb="FF000000"/>
        <rFont val="맑은 고딕"/>
        <family val="3"/>
        <charset val="129"/>
      </rPr>
      <t>10</t>
    </r>
    <r>
      <rPr>
        <sz val="9"/>
        <color rgb="FF000000"/>
        <rFont val="WenQuanYi Zen Hei"/>
        <family val="2"/>
      </rPr>
      <t xml:space="preserve">월 </t>
    </r>
    <r>
      <rPr>
        <sz val="9"/>
        <color rgb="FF000000"/>
        <rFont val="맑은 고딕"/>
        <family val="3"/>
        <charset val="129"/>
      </rPr>
      <t>6</t>
    </r>
    <r>
      <rPr>
        <sz val="9"/>
        <color rgb="FF000000"/>
        <rFont val="WenQuanYi Zen Hei"/>
        <family val="2"/>
      </rPr>
      <t>일</t>
    </r>
  </si>
  <si>
    <t>대표자</t>
  </si>
  <si>
    <r>
      <rPr>
        <sz val="9"/>
        <color rgb="FF0000FF"/>
        <rFont val="맑은 고딕"/>
        <family val="3"/>
        <charset val="129"/>
      </rPr>
      <t>[</t>
    </r>
    <r>
      <rPr>
        <sz val="9"/>
        <color rgb="FF0000FF"/>
        <rFont val="WenQuanYi Zen Hei"/>
        <family val="2"/>
      </rPr>
      <t>대표자</t>
    </r>
    <r>
      <rPr>
        <sz val="9"/>
        <color rgb="FF0000FF"/>
        <rFont val="맑은 고딕"/>
        <family val="3"/>
        <charset val="129"/>
      </rPr>
      <t>]      (</t>
    </r>
    <r>
      <rPr>
        <sz val="9"/>
        <color rgb="FF0000FF"/>
        <rFont val="WenQuanYi Zen Hei"/>
        <family val="2"/>
      </rPr>
      <t>인</t>
    </r>
    <r>
      <rPr>
        <sz val="9"/>
        <color rgb="FF0000FF"/>
        <rFont val="맑은 고딕"/>
        <family val="3"/>
        <charset val="129"/>
      </rPr>
      <t>)</t>
    </r>
  </si>
  <si>
    <t>수    신</t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</si>
  <si>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WenQuanYi Zen Hei"/>
        <family val="2"/>
      </rPr>
      <t>주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WenQuanYi Zen Hei"/>
        <family val="2"/>
      </rPr>
      <t>테크로스 전략구매팀 귀하</t>
    </r>
  </si>
  <si>
    <t>사업자번호</t>
  </si>
  <si>
    <t>[   -  -     ]</t>
  </si>
  <si>
    <t>건    명</t>
  </si>
  <si>
    <r>
      <rPr>
        <sz val="9"/>
        <color rgb="FF000000"/>
        <rFont val="맑은 고딕"/>
        <family val="3"/>
        <charset val="129"/>
      </rPr>
      <t xml:space="preserve">PLC </t>
    </r>
    <r>
      <rPr>
        <sz val="9"/>
        <color rgb="FF000000"/>
        <rFont val="WenQuanYi Zen Hei"/>
        <family val="2"/>
      </rPr>
      <t xml:space="preserve">교체 </t>
    </r>
    <r>
      <rPr>
        <sz val="9"/>
        <color rgb="FF000000"/>
        <rFont val="맑은 고딕"/>
        <family val="3"/>
        <charset val="129"/>
      </rPr>
      <t xml:space="preserve">(TSU · ANU · ANU-S · MCC) </t>
    </r>
    <r>
      <rPr>
        <sz val="9"/>
        <color rgb="FF000000"/>
        <rFont val="WenQuanYi Zen Hei"/>
        <family val="2"/>
      </rPr>
      <t>견적</t>
    </r>
  </si>
  <si>
    <t>주소</t>
  </si>
  <si>
    <r>
      <rPr>
        <sz val="9"/>
        <color rgb="FF0000FF"/>
        <rFont val="맑은 고딕"/>
        <family val="3"/>
        <charset val="129"/>
      </rPr>
      <t>[</t>
    </r>
    <r>
      <rPr>
        <sz val="9"/>
        <color rgb="FF0000FF"/>
        <rFont val="WenQuanYi Zen Hei"/>
        <family val="2"/>
      </rPr>
      <t>주소</t>
    </r>
    <r>
      <rPr>
        <sz val="9"/>
        <color rgb="FF0000FF"/>
        <rFont val="맑은 고딕"/>
        <family val="3"/>
        <charset val="129"/>
      </rPr>
      <t>]</t>
    </r>
  </si>
  <si>
    <t>유효기간</t>
  </si>
  <si>
    <r>
      <rPr>
        <sz val="9"/>
        <color rgb="FF0000FF"/>
        <rFont val="맑은 고딕"/>
        <family val="3"/>
        <charset val="129"/>
      </rPr>
      <t>[</t>
    </r>
    <r>
      <rPr>
        <sz val="9"/>
        <color rgb="FF0000FF"/>
        <rFont val="WenQuanYi Zen Hei"/>
        <family val="2"/>
      </rPr>
      <t>견적일로부터    일</t>
    </r>
    <r>
      <rPr>
        <sz val="9"/>
        <color rgb="FF0000FF"/>
        <rFont val="맑은 고딕"/>
        <family val="3"/>
        <charset val="129"/>
      </rPr>
      <t>]</t>
    </r>
  </si>
  <si>
    <r>
      <rPr>
        <b/>
        <sz val="8"/>
        <color rgb="FF000000"/>
        <rFont val="WenQuanYi Zen Hei"/>
        <family val="2"/>
      </rPr>
      <t>담당</t>
    </r>
    <r>
      <rPr>
        <b/>
        <sz val="8"/>
        <color rgb="FF000000"/>
        <rFont val="맑은 고딕"/>
        <family val="3"/>
        <charset val="129"/>
      </rPr>
      <t>/</t>
    </r>
    <r>
      <rPr>
        <b/>
        <sz val="8"/>
        <color rgb="FF000000"/>
        <rFont val="WenQuanYi Zen Hei"/>
        <family val="2"/>
      </rPr>
      <t>연락처</t>
    </r>
  </si>
  <si>
    <r>
      <rPr>
        <sz val="9"/>
        <color rgb="FF0000FF"/>
        <rFont val="맑은 고딕"/>
        <family val="3"/>
        <charset val="129"/>
      </rPr>
      <t>[</t>
    </r>
    <r>
      <rPr>
        <sz val="9"/>
        <color rgb="FF0000FF"/>
        <rFont val="WenQuanYi Zen Hei"/>
        <family val="2"/>
      </rPr>
      <t>담당자</t>
    </r>
    <r>
      <rPr>
        <sz val="9"/>
        <color rgb="FF0000FF"/>
        <rFont val="맑은 고딕"/>
        <family val="3"/>
        <charset val="129"/>
      </rPr>
      <t>] / [</t>
    </r>
    <r>
      <rPr>
        <sz val="9"/>
        <color rgb="FF0000FF"/>
        <rFont val="WenQuanYi Zen Hei"/>
        <family val="2"/>
      </rPr>
      <t>연락처</t>
    </r>
    <r>
      <rPr>
        <sz val="9"/>
        <color rgb="FF0000FF"/>
        <rFont val="맑은 고딕"/>
        <family val="3"/>
        <charset val="129"/>
      </rPr>
      <t>]</t>
    </r>
  </si>
  <si>
    <r>
      <rPr>
        <sz val="10"/>
        <color rgb="FF000000"/>
        <rFont val="WenQuanYi Zen Hei"/>
        <family val="2"/>
      </rPr>
      <t>아래와 같이 견적합니다</t>
    </r>
    <r>
      <rPr>
        <sz val="10"/>
        <color rgb="FF000000"/>
        <rFont val="맑은 고딕"/>
        <family val="3"/>
        <charset val="129"/>
      </rPr>
      <t>.  (</t>
    </r>
    <r>
      <rPr>
        <sz val="10"/>
        <color rgb="FF000000"/>
        <rFont val="WenQuanYi Zen Hei"/>
        <family val="2"/>
      </rPr>
      <t>단위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WenQuanYi Zen Hei"/>
        <family val="2"/>
      </rPr>
      <t>원</t>
    </r>
    <r>
      <rPr>
        <sz val="10"/>
        <color rgb="FF000000"/>
        <rFont val="맑은 고딕"/>
        <family val="3"/>
        <charset val="129"/>
      </rPr>
      <t xml:space="preserve">, VAT </t>
    </r>
    <r>
      <rPr>
        <sz val="10"/>
        <color rgb="FF000000"/>
        <rFont val="WenQuanYi Zen Hei"/>
        <family val="2"/>
      </rPr>
      <t>별도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</si>
  <si>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WenQuanYi Zen Hei"/>
        <family val="2"/>
      </rPr>
      <t xml:space="preserve">연간 예상 금액 — </t>
    </r>
    <r>
      <rPr>
        <b/>
        <sz val="10"/>
        <color rgb="FF000000"/>
        <rFont val="맑은 고딕"/>
        <family val="3"/>
        <charset val="129"/>
      </rPr>
      <t xml:space="preserve">DC24V </t>
    </r>
    <r>
      <rPr>
        <b/>
        <sz val="10"/>
        <color rgb="FF000000"/>
        <rFont val="WenQuanYi Zen Hei"/>
        <family val="2"/>
      </rPr>
      <t xml:space="preserve">사양 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WenQuanYi Zen Hei"/>
        <family val="2"/>
      </rPr>
      <t>권장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</si>
  <si>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WenQuanYi Zen Hei"/>
        <family val="2"/>
      </rPr>
      <t xml:space="preserve">연간 예상 금액 — </t>
    </r>
    <r>
      <rPr>
        <b/>
        <sz val="10"/>
        <color rgb="FF000000"/>
        <rFont val="맑은 고딕"/>
        <family val="3"/>
        <charset val="129"/>
      </rPr>
      <t xml:space="preserve">AC220V </t>
    </r>
    <r>
      <rPr>
        <b/>
        <sz val="10"/>
        <color rgb="FF000000"/>
        <rFont val="WenQuanYi Zen Hei"/>
        <family val="2"/>
      </rPr>
      <t>사양</t>
    </r>
  </si>
  <si>
    <r>
      <rPr>
        <b/>
        <sz val="11"/>
        <color rgb="FF1F3864"/>
        <rFont val="맑은 고딕"/>
        <family val="3"/>
        <charset val="129"/>
      </rPr>
      <t xml:space="preserve">1. </t>
    </r>
    <r>
      <rPr>
        <b/>
        <sz val="11"/>
        <color rgb="FF1F3864"/>
        <rFont val="WenQuanYi Zen Hei"/>
        <family val="2"/>
      </rPr>
      <t xml:space="preserve">세부 견적 — </t>
    </r>
    <r>
      <rPr>
        <b/>
        <sz val="11"/>
        <color rgb="FF1F3864"/>
        <rFont val="맑은 고딕"/>
        <family val="3"/>
        <charset val="129"/>
      </rPr>
      <t xml:space="preserve">DC24V </t>
    </r>
    <r>
      <rPr>
        <b/>
        <sz val="11"/>
        <color rgb="FF1F3864"/>
        <rFont val="WenQuanYi Zen Hei"/>
        <family val="2"/>
      </rPr>
      <t xml:space="preserve">사양 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WenQuanYi Zen Hei"/>
        <family val="2"/>
      </rPr>
      <t>권장</t>
    </r>
    <r>
      <rPr>
        <b/>
        <sz val="11"/>
        <color rgb="FF1F3864"/>
        <rFont val="맑은 고딕"/>
        <family val="3"/>
        <charset val="129"/>
      </rPr>
      <t>)</t>
    </r>
  </si>
  <si>
    <t>No.</t>
  </si>
  <si>
    <t>프로젝트</t>
  </si>
  <si>
    <t>모델</t>
  </si>
  <si>
    <t>사양</t>
  </si>
  <si>
    <t>단위</t>
  </si>
  <si>
    <t>수량</t>
  </si>
  <si>
    <t>단가</t>
  </si>
  <si>
    <t>금액</t>
  </si>
  <si>
    <t>비고</t>
  </si>
  <si>
    <t>TSU</t>
  </si>
  <si>
    <t>TM241C24T</t>
  </si>
  <si>
    <t>M241 CPU, DI 14 / DO 10 (TR), Serial 2CH, DC24V</t>
  </si>
  <si>
    <t>EA</t>
  </si>
  <si>
    <r>
      <rPr>
        <b/>
        <sz val="9"/>
        <color rgb="FF000000"/>
        <rFont val="맑은 고딕"/>
        <family val="3"/>
        <charset val="129"/>
      </rPr>
      <t>TSU DC24V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14 / DO 10 / Serial 2CH)</t>
    </r>
  </si>
  <si>
    <t>ANU</t>
  </si>
  <si>
    <t>TM241C40T</t>
  </si>
  <si>
    <t>M241 CPU, DI 24 / DO 16 (TR), Serial 2CH, DC24V</t>
  </si>
  <si>
    <r>
      <rPr>
        <b/>
        <sz val="9"/>
        <color rgb="FF000000"/>
        <rFont val="맑은 고딕"/>
        <family val="3"/>
        <charset val="129"/>
      </rPr>
      <t>ANU DC24V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24 / DO 16 / Serial 2CH)</t>
    </r>
  </si>
  <si>
    <t>ANU-S</t>
  </si>
  <si>
    <t>TM3AQ2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</si>
  <si>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3"/>
        <charset val="129"/>
      </rPr>
      <t>2CH</t>
    </r>
  </si>
  <si>
    <r>
      <rPr>
        <b/>
        <sz val="9"/>
        <color rgb="FF000000"/>
        <rFont val="맑은 고딕"/>
        <family val="3"/>
        <charset val="129"/>
      </rPr>
      <t>ANU-S DC24V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14 / DO 10 / AO 2 / Serial 2CH)</t>
    </r>
  </si>
  <si>
    <t>MCC</t>
  </si>
  <si>
    <t>TM241CE40T</t>
  </si>
  <si>
    <t>M241 CPU, DI 24 / DO 16 (TR), Serial 2CH + Ethernet, DC24V</t>
  </si>
  <si>
    <t>TM3DI16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</si>
  <si>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디지털 입력 </t>
    </r>
    <r>
      <rPr>
        <sz val="8"/>
        <color rgb="FF000000"/>
        <rFont val="맑은 고딕"/>
        <family val="3"/>
        <charset val="129"/>
      </rPr>
      <t>16</t>
    </r>
    <r>
      <rPr>
        <sz val="8"/>
        <color rgb="FF000000"/>
        <rFont val="WenQuanYi Zen Hei"/>
        <family val="2"/>
      </rPr>
      <t>점</t>
    </r>
  </si>
  <si>
    <t>TM3DQ16T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</si>
  <si>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3"/>
        <charset val="129"/>
      </rPr>
      <t>16</t>
    </r>
    <r>
      <rPr>
        <sz val="8"/>
        <color rgb="FF000000"/>
        <rFont val="WenQuanYi Zen Hei"/>
        <family val="2"/>
      </rPr>
      <t>점</t>
    </r>
  </si>
  <si>
    <t>TM3DQ8T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</si>
  <si>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3"/>
        <charset val="129"/>
      </rPr>
      <t>8</t>
    </r>
    <r>
      <rPr>
        <sz val="8"/>
        <color rgb="FF000000"/>
        <rFont val="WenQuanYi Zen Hei"/>
        <family val="2"/>
      </rPr>
      <t>점</t>
    </r>
  </si>
  <si>
    <t>TM3AQ4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</si>
  <si>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3"/>
        <charset val="129"/>
      </rPr>
      <t>4CH</t>
    </r>
  </si>
  <si>
    <t>TM3XTRA1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</si>
  <si>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버스 확장 모듈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WenQuanYi Zen Hei"/>
        <family val="2"/>
      </rPr>
      <t>송신</t>
    </r>
    <r>
      <rPr>
        <sz val="8"/>
        <color rgb="FF000000"/>
        <rFont val="맑은 고딕"/>
        <family val="3"/>
        <charset val="129"/>
      </rPr>
      <t>)</t>
    </r>
  </si>
  <si>
    <t>TM3XREC1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</si>
  <si>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버스 확장 모듈 </t>
    </r>
    <r>
      <rPr>
        <sz val="8"/>
        <color rgb="FF000000"/>
        <rFont val="맑은 고딕"/>
        <family val="3"/>
        <charset val="129"/>
      </rPr>
      <t>(</t>
    </r>
    <r>
      <rPr>
        <sz val="8"/>
        <color rgb="FF000000"/>
        <rFont val="WenQuanYi Zen Hei"/>
        <family val="2"/>
      </rPr>
      <t>수신</t>
    </r>
    <r>
      <rPr>
        <sz val="8"/>
        <color rgb="FF000000"/>
        <rFont val="맑은 고딕"/>
        <family val="3"/>
        <charset val="129"/>
      </rPr>
      <t>)</t>
    </r>
  </si>
  <si>
    <r>
      <rPr>
        <b/>
        <sz val="9"/>
        <color rgb="FF000000"/>
        <rFont val="맑은 고딕"/>
        <family val="3"/>
        <charset val="129"/>
      </rPr>
      <t>MCC DC24V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104 / DO 56 / AO 4 / Serial 2CH + Ethernet)</t>
    </r>
  </si>
  <si>
    <r>
      <rPr>
        <b/>
        <sz val="11"/>
        <color rgb="FF1F3864"/>
        <rFont val="맑은 고딕"/>
        <family val="3"/>
        <charset val="129"/>
      </rPr>
      <t xml:space="preserve">2. </t>
    </r>
    <r>
      <rPr>
        <b/>
        <sz val="11"/>
        <color rgb="FF1F3864"/>
        <rFont val="WenQuanYi Zen Hei"/>
        <family val="2"/>
      </rPr>
      <t xml:space="preserve">세부 견적 — </t>
    </r>
    <r>
      <rPr>
        <b/>
        <sz val="11"/>
        <color rgb="FF1F3864"/>
        <rFont val="맑은 고딕"/>
        <family val="3"/>
        <charset val="129"/>
      </rPr>
      <t xml:space="preserve">AC220V </t>
    </r>
    <r>
      <rPr>
        <b/>
        <sz val="11"/>
        <color rgb="FF1F3864"/>
        <rFont val="WenQuanYi Zen Hei"/>
        <family val="2"/>
      </rPr>
      <t>사양</t>
    </r>
  </si>
  <si>
    <t>TM241C24R</t>
  </si>
  <si>
    <t>M241 CPU, DI 14 / DO 10 (Relay 6 + TR 4), Serial 2CH, AC100~240V</t>
  </si>
  <si>
    <r>
      <rPr>
        <b/>
        <sz val="9"/>
        <color rgb="FF000000"/>
        <rFont val="맑은 고딕"/>
        <family val="3"/>
        <charset val="129"/>
      </rPr>
      <t>TSU AC220V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14 / DO 10 / Serial 2CH)</t>
    </r>
  </si>
  <si>
    <t>TM241C40R</t>
  </si>
  <si>
    <t>M241 CPU, DI 24 / DO 16 (Relay 12 + TR 4), Serial 2CH, AC100~240V</t>
  </si>
  <si>
    <r>
      <rPr>
        <b/>
        <sz val="9"/>
        <color rgb="FF000000"/>
        <rFont val="맑은 고딕"/>
        <family val="3"/>
        <charset val="129"/>
      </rPr>
      <t>ANU AC220V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24 / DO 16 / Serial 2CH)</t>
    </r>
  </si>
  <si>
    <r>
      <rPr>
        <b/>
        <sz val="9"/>
        <color rgb="FF000000"/>
        <rFont val="맑은 고딕"/>
        <family val="3"/>
        <charset val="129"/>
      </rPr>
      <t>ANU-S AC220V  1</t>
    </r>
    <r>
      <rPr>
        <b/>
        <sz val="9"/>
        <color rgb="FF000000"/>
        <rFont val="WenQuanYi Zen Hei"/>
        <family val="2"/>
      </rPr>
      <t xml:space="preserve">대 합계   </t>
    </r>
    <r>
      <rPr>
        <b/>
        <sz val="9"/>
        <color rgb="FF000000"/>
        <rFont val="맑은 고딕"/>
        <family val="3"/>
        <charset val="129"/>
      </rPr>
      <t>(DI 14 / DO 10 / AO 2 / Serial 2CH)</t>
    </r>
  </si>
  <si>
    <r>
      <rPr>
        <sz val="8"/>
        <color rgb="FF595959"/>
        <rFont val="맑은 고딕"/>
        <family val="3"/>
        <charset val="129"/>
      </rPr>
      <t>※ MCC</t>
    </r>
    <r>
      <rPr>
        <sz val="8"/>
        <color rgb="FF595959"/>
        <rFont val="WenQuanYi Zen Hei"/>
        <family val="2"/>
      </rPr>
      <t xml:space="preserve">는 </t>
    </r>
    <r>
      <rPr>
        <sz val="8"/>
        <color rgb="FF595959"/>
        <rFont val="맑은 고딕"/>
        <family val="3"/>
        <charset val="129"/>
      </rPr>
      <t xml:space="preserve">DC24V </t>
    </r>
    <r>
      <rPr>
        <sz val="8"/>
        <color rgb="FF595959"/>
        <rFont val="WenQuanYi Zen Hei"/>
        <family val="2"/>
      </rPr>
      <t xml:space="preserve">사양만 해당 — </t>
    </r>
    <r>
      <rPr>
        <sz val="8"/>
        <color rgb="FF595959"/>
        <rFont val="맑은 고딕"/>
        <family val="3"/>
        <charset val="129"/>
      </rPr>
      <t>1</t>
    </r>
    <r>
      <rPr>
        <sz val="8"/>
        <color rgb="FF595959"/>
        <rFont val="WenQuanYi Zen Hei"/>
        <family val="2"/>
      </rPr>
      <t xml:space="preserve">항의 </t>
    </r>
    <r>
      <rPr>
        <sz val="8"/>
        <color rgb="FF595959"/>
        <rFont val="맑은 고딕"/>
        <family val="3"/>
        <charset val="129"/>
      </rPr>
      <t xml:space="preserve">MCC </t>
    </r>
    <r>
      <rPr>
        <sz val="8"/>
        <color rgb="FF595959"/>
        <rFont val="WenQuanYi Zen Hei"/>
        <family val="2"/>
      </rPr>
      <t>구성과 동일</t>
    </r>
  </si>
  <si>
    <r>
      <rPr>
        <b/>
        <sz val="11"/>
        <color rgb="FF1F3864"/>
        <rFont val="맑은 고딕"/>
        <family val="3"/>
        <charset val="129"/>
      </rPr>
      <t xml:space="preserve">3. </t>
    </r>
    <r>
      <rPr>
        <b/>
        <sz val="11"/>
        <color rgb="FF1F3864"/>
        <rFont val="WenQuanYi Zen Hei"/>
        <family val="2"/>
      </rPr>
      <t xml:space="preserve">연간 예상 금액 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WenQuanYi Zen Hei"/>
        <family val="2"/>
      </rPr>
      <t>귀사 제시 수량 기준</t>
    </r>
    <r>
      <rPr>
        <b/>
        <sz val="11"/>
        <color rgb="FF1F3864"/>
        <rFont val="맑은 고딕"/>
        <family val="3"/>
        <charset val="129"/>
      </rPr>
      <t>)</t>
    </r>
  </si>
  <si>
    <r>
      <rPr>
        <b/>
        <sz val="9"/>
        <color rgb="FF000000"/>
        <rFont val="맑은 고딕"/>
        <family val="3"/>
        <charset val="129"/>
      </rPr>
      <t>1</t>
    </r>
    <r>
      <rPr>
        <b/>
        <sz val="9"/>
        <color rgb="FF000000"/>
        <rFont val="WenQuanYi Zen Hei"/>
        <family val="2"/>
      </rPr>
      <t xml:space="preserve">대 금액 </t>
    </r>
    <r>
      <rPr>
        <b/>
        <sz val="9"/>
        <color rgb="FF000000"/>
        <rFont val="맑은 고딕"/>
        <family val="3"/>
        <charset val="129"/>
      </rPr>
      <t>DC24V</t>
    </r>
  </si>
  <si>
    <r>
      <rPr>
        <b/>
        <sz val="9"/>
        <color rgb="FF000000"/>
        <rFont val="맑은 고딕"/>
        <family val="3"/>
        <charset val="129"/>
      </rPr>
      <t>1</t>
    </r>
    <r>
      <rPr>
        <b/>
        <sz val="9"/>
        <color rgb="FF000000"/>
        <rFont val="WenQuanYi Zen Hei"/>
        <family val="2"/>
      </rPr>
      <t xml:space="preserve">대 금액 </t>
    </r>
    <r>
      <rPr>
        <b/>
        <sz val="9"/>
        <color rgb="FF000000"/>
        <rFont val="맑은 고딕"/>
        <family val="3"/>
        <charset val="129"/>
      </rPr>
      <t>AC220V</t>
    </r>
  </si>
  <si>
    <t>연간 수량</t>
  </si>
  <si>
    <r>
      <rPr>
        <b/>
        <sz val="9"/>
        <color rgb="FF000000"/>
        <rFont val="WenQuanYi Zen Hei"/>
        <family val="2"/>
      </rPr>
      <t xml:space="preserve">연간 금액 </t>
    </r>
    <r>
      <rPr>
        <b/>
        <sz val="9"/>
        <color rgb="FF000000"/>
        <rFont val="맑은 고딕"/>
        <family val="3"/>
        <charset val="129"/>
      </rPr>
      <t>DC24V</t>
    </r>
  </si>
  <si>
    <r>
      <rPr>
        <b/>
        <sz val="9"/>
        <color rgb="FF000000"/>
        <rFont val="WenQuanYi Zen Hei"/>
        <family val="2"/>
      </rPr>
      <t xml:space="preserve">연간 금액 </t>
    </r>
    <r>
      <rPr>
        <b/>
        <sz val="9"/>
        <color rgb="FF000000"/>
        <rFont val="맑은 고딕"/>
        <family val="3"/>
        <charset val="129"/>
      </rPr>
      <t>AC220V</t>
    </r>
  </si>
  <si>
    <r>
      <rPr>
        <sz val="8"/>
        <color rgb="FF595959"/>
        <rFont val="맑은 고딕"/>
        <family val="3"/>
        <charset val="129"/>
      </rPr>
      <t>DC24V</t>
    </r>
    <r>
      <rPr>
        <sz val="8"/>
        <color rgb="FF595959"/>
        <rFont val="WenQuanYi Zen Hei"/>
        <family val="2"/>
      </rPr>
      <t>만</t>
    </r>
  </si>
  <si>
    <t>합계</t>
  </si>
  <si>
    <t>특기 사항</t>
  </si>
  <si>
    <r>
      <rPr>
        <sz val="9"/>
        <color rgb="FF000000"/>
        <rFont val="맑은 고딕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>가격 기준</t>
    </r>
    <r>
      <rPr>
        <sz val="9"/>
        <color rgb="FF000000"/>
        <rFont val="맑은 고딕"/>
        <family val="3"/>
        <charset val="129"/>
      </rPr>
      <t>: 2027</t>
    </r>
    <r>
      <rPr>
        <sz val="9"/>
        <color rgb="FF000000"/>
        <rFont val="WenQuanYi Zen Hei"/>
        <family val="2"/>
      </rPr>
      <t>년 공급 가격 기준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>부가가치세 별도</t>
    </r>
    <r>
      <rPr>
        <sz val="9"/>
        <color rgb="FF000000"/>
        <rFont val="맑은 고딕"/>
        <family val="3"/>
        <charset val="129"/>
      </rPr>
      <t>.</t>
    </r>
  </si>
  <si>
    <r>
      <rPr>
        <sz val="9"/>
        <color rgb="FF000000"/>
        <rFont val="맑은 고딕"/>
        <family val="3"/>
        <charset val="129"/>
      </rPr>
      <t>2. TSU · ANU · ANU-S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3"/>
        <charset val="129"/>
      </rPr>
      <t>DC24V(</t>
    </r>
    <r>
      <rPr>
        <sz val="9"/>
        <color rgb="FF000000"/>
        <rFont val="WenQuanYi Zen Hei"/>
        <family val="2"/>
      </rPr>
      <t>권장</t>
    </r>
    <r>
      <rPr>
        <sz val="9"/>
        <color rgb="FF000000"/>
        <rFont val="맑은 고딕"/>
        <family val="3"/>
        <charset val="129"/>
      </rPr>
      <t xml:space="preserve">) / AC220V </t>
    </r>
    <r>
      <rPr>
        <sz val="9"/>
        <color rgb="FF000000"/>
        <rFont val="WenQuanYi Zen Hei"/>
        <family val="2"/>
      </rPr>
      <t>사양 중 선택</t>
    </r>
    <r>
      <rPr>
        <sz val="9"/>
        <color rgb="FF000000"/>
        <rFont val="맑은 고딕"/>
        <family val="3"/>
        <charset val="129"/>
      </rPr>
      <t>, MCC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3"/>
        <charset val="129"/>
      </rPr>
      <t xml:space="preserve">DC24V </t>
    </r>
    <r>
      <rPr>
        <sz val="9"/>
        <color rgb="FF000000"/>
        <rFont val="WenQuanYi Zen Hei"/>
        <family val="2"/>
      </rPr>
      <t>사양입니다</t>
    </r>
    <r>
      <rPr>
        <sz val="9"/>
        <color rgb="FF000000"/>
        <rFont val="맑은 고딕"/>
        <family val="3"/>
        <charset val="129"/>
      </rPr>
      <t>.</t>
    </r>
  </si>
  <si>
    <r>
      <rPr>
        <sz val="9"/>
        <color rgb="FF000000"/>
        <rFont val="맑은 고딕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>연간 예상 수량</t>
    </r>
    <r>
      <rPr>
        <sz val="9"/>
        <color rgb="FF000000"/>
        <rFont val="맑은 고딕"/>
        <family val="3"/>
        <charset val="129"/>
      </rPr>
      <t>(TSU 200 / ANU 300 / ANU-S 50 / MCC 100 EA)</t>
    </r>
    <r>
      <rPr>
        <sz val="9"/>
        <color rgb="FF000000"/>
        <rFont val="WenQuanYi Zen Hei"/>
        <family val="2"/>
      </rPr>
      <t>은 귀사 제시 수량 기준이며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>실제 발주 수량에 따라 정산합니다</t>
    </r>
    <r>
      <rPr>
        <sz val="9"/>
        <color rgb="FF000000"/>
        <rFont val="맑은 고딕"/>
        <family val="3"/>
        <charset val="129"/>
      </rPr>
      <t>.</t>
    </r>
  </si>
  <si>
    <r>
      <rPr>
        <sz val="9"/>
        <color rgb="FF000000"/>
        <rFont val="맑은 고딕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>제조사</t>
    </r>
    <r>
      <rPr>
        <sz val="9"/>
        <color rgb="FF000000"/>
        <rFont val="맑은 고딕"/>
        <family val="3"/>
        <charset val="129"/>
      </rPr>
      <t xml:space="preserve">: Schneider Electric (Modicon M241 / TM3).  </t>
    </r>
    <r>
      <rPr>
        <sz val="9"/>
        <color rgb="FF000000"/>
        <rFont val="WenQuanYi Zen Hei"/>
        <family val="2"/>
      </rPr>
      <t>선급 인증</t>
    </r>
    <r>
      <rPr>
        <sz val="9"/>
        <color rgb="FF000000"/>
        <rFont val="맑은 고딕"/>
        <family val="3"/>
        <charset val="129"/>
      </rPr>
      <t>: LR, ABS, DNV, KR.</t>
    </r>
  </si>
  <si>
    <r>
      <rPr>
        <sz val="9"/>
        <color rgb="FF000000"/>
        <rFont val="맑은 고딕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>프로그래밍</t>
    </r>
    <r>
      <rPr>
        <sz val="9"/>
        <color rgb="FF000000"/>
        <rFont val="맑은 고딕"/>
        <family val="3"/>
        <charset val="129"/>
      </rPr>
      <t xml:space="preserve">: EcoStruxure Machine Expert (IEC 61131-3, ST </t>
    </r>
    <r>
      <rPr>
        <sz val="9"/>
        <color rgb="FF000000"/>
        <rFont val="WenQuanYi Zen Hei"/>
        <family val="2"/>
      </rPr>
      <t>언어 지원</t>
    </r>
    <r>
      <rPr>
        <sz val="9"/>
        <color rgb="FF000000"/>
        <rFont val="맑은 고딕"/>
        <family val="3"/>
        <charset val="129"/>
      </rPr>
      <t>).</t>
    </r>
  </si>
  <si>
    <r>
      <rPr>
        <sz val="9"/>
        <color rgb="FF0000FF"/>
        <rFont val="맑은 고딕"/>
        <family val="3"/>
        <charset val="129"/>
      </rPr>
      <t xml:space="preserve">6. </t>
    </r>
    <r>
      <rPr>
        <sz val="9"/>
        <color rgb="FF0000FF"/>
        <rFont val="WenQuanYi Zen Hei"/>
        <family val="2"/>
      </rPr>
      <t xml:space="preserve">납기 </t>
    </r>
    <r>
      <rPr>
        <sz val="9"/>
        <color rgb="FF0000FF"/>
        <rFont val="맑은 고딕"/>
        <family val="3"/>
        <charset val="129"/>
      </rPr>
      <t xml:space="preserve">· </t>
    </r>
    <r>
      <rPr>
        <sz val="9"/>
        <color rgb="FF0000FF"/>
        <rFont val="WenQuanYi Zen Hei"/>
        <family val="2"/>
      </rPr>
      <t>결제 조건</t>
    </r>
    <r>
      <rPr>
        <sz val="9"/>
        <color rgb="FF0000FF"/>
        <rFont val="맑은 고딕"/>
        <family val="3"/>
        <charset val="129"/>
      </rPr>
      <t>: [</t>
    </r>
    <r>
      <rPr>
        <sz val="9"/>
        <color rgb="FF0000FF"/>
        <rFont val="WenQuanYi Zen Hei"/>
        <family val="2"/>
      </rPr>
      <t>협의</t>
    </r>
    <r>
      <rPr>
        <sz val="9"/>
        <color rgb="FF0000FF"/>
        <rFont val="맑은 고딕"/>
        <family val="3"/>
        <charset val="129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</si>
</sst>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\-"/>
  </numFmts>
  <fonts count="22">
    <font>
      <sz val="11"/>
      <color theme="1"/>
      <name val="Calibri"/>
      <family val="2"/>
      <charset val="1"/>
    </font>
    <font>
      <b/>
      <sz val="22"/>
      <color rgb="FF000000"/>
      <name val="WenQuanYi Zen Hei"/>
      <family val="2"/>
    </font>
    <font>
      <b/>
      <sz val="9"/>
      <color rgb="FF000000"/>
      <name val="WenQuanYi Zen Hei"/>
      <family val="2"/>
    </font>
    <font>
      <sz val="9"/>
      <color rgb="FF0000FF"/>
      <name val="맑은 고딕"/>
      <family val="3"/>
      <charset val="129"/>
    </font>
    <font>
      <b/>
      <sz val="8"/>
      <color rgb="FF000000"/>
      <name val="WenQuanYi Zen Hei"/>
      <family val="2"/>
    </font>
    <font>
      <sz val="9"/>
      <color rgb="FF0000FF"/>
      <name val="WenQuanYi Zen Hei"/>
      <family val="2"/>
    </font>
    <font>
      <sz val="9"/>
      <color rgb="FF000000"/>
      <name val="맑은 고딕"/>
      <family val="3"/>
      <charset val="129"/>
    </font>
    <font>
      <sz val="9"/>
      <color rgb="FF000000"/>
      <name val="WenQuanYi Zen Hei"/>
      <family val="2"/>
    </font>
    <font>
      <b/>
      <sz val="8"/>
      <color rgb="FF000000"/>
      <name val="맑은 고딕"/>
      <family val="3"/>
      <charset val="129"/>
    </font>
    <font>
      <sz val="10"/>
      <color rgb="FF000000"/>
      <name val="WenQuanYi Zen Hei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WenQuanYi Zen Hei"/>
      <family val="2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1F3864"/>
      <name val="WenQuanYi Zen Hei"/>
      <family val="2"/>
    </font>
    <font>
      <b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WenQuanYi Zen Hei"/>
      <family val="2"/>
    </font>
    <font>
      <sz val="8"/>
      <color rgb="FF595959"/>
      <name val="맑은 고딕"/>
      <family val="3"/>
      <charset val="129"/>
    </font>
    <font>
      <sz val="8"/>
      <color rgb="FF595959"/>
      <name val="WenQuanYi Zen Hei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DF2F9"/>
      </patternFill>
    </fill>
    <fill>
      <patternFill patternType="solid">
        <fgColor rgb="FFD9E1F2"/>
        <bgColor rgb="FFEDF2F9"/>
      </patternFill>
    </fill>
    <fill>
      <patternFill patternType="solid">
        <fgColor rgb="FFEDF2F9"/>
        <b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0" xfId="0" applyFont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10" fillId="0" borderId="1" xfId="0" applyFont="1" applyBorder="1"/>
    <xf numFmtId="176" fontId="12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/>
    <xf numFmtId="176" fontId="6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/>
    <xf numFmtId="0" fontId="11" fillId="0" borderId="0" xfId="0" applyFont="1"/>
    <xf numFmtId="0" fontId="3" fillId="0" borderId="0" xfId="0" applyFont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2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showGridLines="0" tabSelected="1" topLeftCell="A5" zoomScaleNormal="100" workbookViewId="0">
      <selection activeCell="K10" sqref="K10"/>
    </sheetView>
  </sheetViews>
  <sheetFormatPr defaultColWidth="8.5703125" defaultRowHeight="15"/>
  <cols>
    <col min="1" max="1" width="5" customWidth="1"/>
    <col min="2" max="2" width="9" customWidth="1"/>
    <col min="3" max="3" width="13" customWidth="1"/>
    <col min="4" max="4" width="36" customWidth="1"/>
    <col min="5" max="5" width="6" customWidth="1"/>
    <col min="6" max="6" width="7" customWidth="1"/>
    <col min="7" max="7" width="12" customWidth="1"/>
    <col min="8" max="8" width="13" customWidth="1"/>
    <col min="9" max="9" width="12" customWidth="1"/>
  </cols>
  <sheetData>
    <row r="1" spans="1:9" ht="42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3" spans="1:9" ht="15" customHeight="1">
      <c r="A3" s="13" t="s">
        <v>1</v>
      </c>
      <c r="B3" s="13"/>
      <c r="C3" s="12" t="s">
        <v>2</v>
      </c>
      <c r="D3" s="12"/>
      <c r="E3" s="13" t="s">
        <v>3</v>
      </c>
      <c r="F3" s="15" t="s">
        <v>4</v>
      </c>
      <c r="G3" s="12" t="s">
        <v>5</v>
      </c>
      <c r="H3" s="12"/>
      <c r="I3" s="12"/>
    </row>
    <row r="4" spans="1:9" ht="15" customHeight="1">
      <c r="A4" s="13" t="s">
        <v>6</v>
      </c>
      <c r="B4" s="13"/>
      <c r="C4" s="11" t="s">
        <v>7</v>
      </c>
      <c r="D4" s="11"/>
      <c r="E4" s="13"/>
      <c r="F4" s="15" t="s">
        <v>8</v>
      </c>
      <c r="G4" s="12" t="s">
        <v>9</v>
      </c>
      <c r="H4" s="12"/>
      <c r="I4" s="12"/>
    </row>
    <row r="5" spans="1:9" ht="19.5" customHeight="1">
      <c r="A5" s="13" t="s">
        <v>10</v>
      </c>
      <c r="B5" s="13"/>
      <c r="C5" s="11" t="s">
        <v>11</v>
      </c>
      <c r="D5" s="11"/>
      <c r="E5" s="13"/>
      <c r="F5" s="15" t="s">
        <v>12</v>
      </c>
      <c r="G5" s="12" t="s">
        <v>13</v>
      </c>
      <c r="H5" s="12"/>
      <c r="I5" s="12"/>
    </row>
    <row r="6" spans="1:9" ht="15" customHeight="1">
      <c r="A6" s="13" t="s">
        <v>14</v>
      </c>
      <c r="B6" s="13"/>
      <c r="C6" s="11" t="s">
        <v>15</v>
      </c>
      <c r="D6" s="11"/>
      <c r="E6" s="13"/>
      <c r="F6" s="15" t="s">
        <v>16</v>
      </c>
      <c r="G6" s="12" t="s">
        <v>17</v>
      </c>
      <c r="H6" s="12"/>
      <c r="I6" s="12"/>
    </row>
    <row r="7" spans="1:9" ht="24.75" customHeight="1">
      <c r="A7" s="13" t="s">
        <v>18</v>
      </c>
      <c r="B7" s="13"/>
      <c r="C7" s="12" t="s">
        <v>19</v>
      </c>
      <c r="D7" s="12"/>
      <c r="E7" s="13"/>
      <c r="F7" s="15" t="s">
        <v>20</v>
      </c>
      <c r="G7" s="12" t="s">
        <v>21</v>
      </c>
      <c r="H7" s="12"/>
      <c r="I7" s="12"/>
    </row>
    <row r="9" spans="1:9">
      <c r="A9" s="16" t="s">
        <v>22</v>
      </c>
    </row>
    <row r="10" spans="1:9" ht="24" customHeight="1">
      <c r="A10" s="10" t="s">
        <v>23</v>
      </c>
      <c r="B10" s="10"/>
      <c r="C10" s="10"/>
      <c r="D10" s="10"/>
      <c r="E10" s="9" t="str">
        <f>"₩ "&amp;TEXT(G48,"#,##0")</f>
        <v>₩ 433,000,000</v>
      </c>
      <c r="F10" s="9"/>
      <c r="G10" s="9"/>
      <c r="H10" s="9"/>
      <c r="I10" s="9"/>
    </row>
    <row r="11" spans="1:9" ht="24" customHeight="1">
      <c r="A11" s="10" t="s">
        <v>24</v>
      </c>
      <c r="B11" s="10"/>
      <c r="C11" s="10"/>
      <c r="D11" s="10"/>
      <c r="E11" s="9" t="str">
        <f>"₩ "&amp;TEXT(H48,"#,##0")</f>
        <v>₩ 433,000,000</v>
      </c>
      <c r="F11" s="9"/>
      <c r="G11" s="9"/>
      <c r="H11" s="9"/>
      <c r="I11" s="9"/>
    </row>
    <row r="13" spans="1:9" ht="21.75" customHeight="1">
      <c r="A13" s="8" t="s">
        <v>25</v>
      </c>
      <c r="B13" s="8"/>
      <c r="C13" s="8"/>
      <c r="D13" s="8"/>
      <c r="E13" s="8"/>
      <c r="F13" s="8"/>
      <c r="G13" s="8"/>
      <c r="H13" s="8"/>
      <c r="I13" s="8"/>
    </row>
    <row r="14" spans="1:9">
      <c r="A14" s="17" t="s">
        <v>26</v>
      </c>
      <c r="B14" s="18" t="s">
        <v>27</v>
      </c>
      <c r="C14" s="18" t="s">
        <v>28</v>
      </c>
      <c r="D14" s="18" t="s">
        <v>29</v>
      </c>
      <c r="E14" s="18" t="s">
        <v>30</v>
      </c>
      <c r="F14" s="18" t="s">
        <v>31</v>
      </c>
      <c r="G14" s="18" t="s">
        <v>32</v>
      </c>
      <c r="H14" s="18" t="s">
        <v>33</v>
      </c>
      <c r="I14" s="18" t="s">
        <v>34</v>
      </c>
    </row>
    <row r="15" spans="1:9" ht="19.5" customHeight="1">
      <c r="A15" s="19">
        <v>1</v>
      </c>
      <c r="B15" s="20" t="s">
        <v>35</v>
      </c>
      <c r="C15" s="21" t="s">
        <v>36</v>
      </c>
      <c r="D15" s="22" t="s">
        <v>37</v>
      </c>
      <c r="E15" s="19" t="s">
        <v>38</v>
      </c>
      <c r="F15" s="19">
        <v>1</v>
      </c>
      <c r="G15" s="23">
        <v>440000</v>
      </c>
      <c r="H15" s="23">
        <f>F15*G15</f>
        <v>440000</v>
      </c>
      <c r="I15" s="24"/>
    </row>
    <row r="16" spans="1:9" ht="19.5" customHeight="1">
      <c r="A16" s="7" t="s">
        <v>39</v>
      </c>
      <c r="B16" s="7"/>
      <c r="C16" s="7"/>
      <c r="D16" s="7"/>
      <c r="E16" s="7"/>
      <c r="F16" s="7"/>
      <c r="G16" s="7"/>
      <c r="H16" s="25">
        <f>SUM(H15:H15)</f>
        <v>440000</v>
      </c>
      <c r="I16" s="26"/>
    </row>
    <row r="17" spans="1:9" ht="19.5" customHeight="1">
      <c r="A17" s="19">
        <v>2</v>
      </c>
      <c r="B17" s="20" t="s">
        <v>40</v>
      </c>
      <c r="C17" s="21" t="s">
        <v>41</v>
      </c>
      <c r="D17" s="22" t="s">
        <v>42</v>
      </c>
      <c r="E17" s="19" t="s">
        <v>38</v>
      </c>
      <c r="F17" s="19">
        <v>1</v>
      </c>
      <c r="G17" s="23">
        <v>570000</v>
      </c>
      <c r="H17" s="23">
        <f>F17*G17</f>
        <v>570000</v>
      </c>
      <c r="I17" s="24"/>
    </row>
    <row r="18" spans="1:9" ht="19.5" customHeight="1">
      <c r="A18" s="7" t="s">
        <v>43</v>
      </c>
      <c r="B18" s="7"/>
      <c r="C18" s="7"/>
      <c r="D18" s="7"/>
      <c r="E18" s="7"/>
      <c r="F18" s="7"/>
      <c r="G18" s="7"/>
      <c r="H18" s="25">
        <f>SUM(H17:H17)</f>
        <v>570000</v>
      </c>
      <c r="I18" s="26"/>
    </row>
    <row r="19" spans="1:9" ht="19.5" customHeight="1">
      <c r="A19" s="19">
        <v>3</v>
      </c>
      <c r="B19" s="6" t="s">
        <v>44</v>
      </c>
      <c r="C19" s="21" t="s">
        <v>36</v>
      </c>
      <c r="D19" s="22" t="s">
        <v>37</v>
      </c>
      <c r="E19" s="19" t="s">
        <v>38</v>
      </c>
      <c r="F19" s="19">
        <v>1</v>
      </c>
      <c r="G19" s="23">
        <v>440000</v>
      </c>
      <c r="H19" s="23">
        <f>F19*G19</f>
        <v>440000</v>
      </c>
      <c r="I19" s="24"/>
    </row>
    <row r="20" spans="1:9" ht="19.5" customHeight="1">
      <c r="A20" s="19">
        <v>4</v>
      </c>
      <c r="B20" s="6"/>
      <c r="C20" s="21" t="s">
        <v>45</v>
      </c>
      <c r="D20" s="22" t="s">
        <v>46</v>
      </c>
      <c r="E20" s="19" t="s">
        <v>38</v>
      </c>
      <c r="F20" s="19">
        <v>1</v>
      </c>
      <c r="G20" s="23">
        <v>140000</v>
      </c>
      <c r="H20" s="23">
        <f>F20*G20</f>
        <v>140000</v>
      </c>
      <c r="I20" s="24"/>
    </row>
    <row r="21" spans="1:9" ht="19.5" customHeight="1">
      <c r="A21" s="7" t="s">
        <v>47</v>
      </c>
      <c r="B21" s="7"/>
      <c r="C21" s="7"/>
      <c r="D21" s="7"/>
      <c r="E21" s="7"/>
      <c r="F21" s="7"/>
      <c r="G21" s="7"/>
      <c r="H21" s="25">
        <f>SUM(H19:H20)</f>
        <v>580000</v>
      </c>
      <c r="I21" s="26"/>
    </row>
    <row r="22" spans="1:9" ht="24" customHeight="1">
      <c r="A22" s="19">
        <v>5</v>
      </c>
      <c r="B22" s="6" t="s">
        <v>48</v>
      </c>
      <c r="C22" s="33" t="s">
        <v>49</v>
      </c>
      <c r="D22" s="34" t="s">
        <v>50</v>
      </c>
      <c r="E22" s="35" t="s">
        <v>38</v>
      </c>
      <c r="F22" s="35">
        <v>1</v>
      </c>
      <c r="G22" s="36">
        <v>570000</v>
      </c>
      <c r="H22" s="36">
        <f t="shared" ref="H22:H28" si="0">F22*G22</f>
        <v>570000</v>
      </c>
      <c r="I22" s="24"/>
    </row>
    <row r="23" spans="1:9" ht="19.5" customHeight="1">
      <c r="A23" s="19">
        <v>6</v>
      </c>
      <c r="B23" s="6"/>
      <c r="C23" s="21" t="s">
        <v>51</v>
      </c>
      <c r="D23" s="22" t="s">
        <v>52</v>
      </c>
      <c r="E23" s="19" t="s">
        <v>38</v>
      </c>
      <c r="F23" s="19">
        <v>5</v>
      </c>
      <c r="G23" s="23">
        <v>80000</v>
      </c>
      <c r="H23" s="23">
        <f t="shared" si="0"/>
        <v>400000</v>
      </c>
      <c r="I23" s="24"/>
    </row>
    <row r="24" spans="1:9" ht="19.5" customHeight="1">
      <c r="A24" s="19">
        <v>7</v>
      </c>
      <c r="B24" s="6"/>
      <c r="C24" s="33" t="s">
        <v>53</v>
      </c>
      <c r="D24" s="34" t="s">
        <v>54</v>
      </c>
      <c r="E24" s="35" t="s">
        <v>38</v>
      </c>
      <c r="F24" s="35">
        <v>2</v>
      </c>
      <c r="G24" s="36">
        <v>80000</v>
      </c>
      <c r="H24" s="36">
        <f t="shared" si="0"/>
        <v>160000</v>
      </c>
      <c r="I24" s="24"/>
    </row>
    <row r="25" spans="1:9" ht="19.5" customHeight="1">
      <c r="A25" s="19">
        <v>8</v>
      </c>
      <c r="B25" s="6"/>
      <c r="C25" s="33" t="s">
        <v>55</v>
      </c>
      <c r="D25" s="34" t="s">
        <v>56</v>
      </c>
      <c r="E25" s="35" t="s">
        <v>38</v>
      </c>
      <c r="F25" s="35">
        <v>1</v>
      </c>
      <c r="G25" s="36">
        <v>60000</v>
      </c>
      <c r="H25" s="36">
        <f t="shared" si="0"/>
        <v>60000</v>
      </c>
      <c r="I25" s="24"/>
    </row>
    <row r="26" spans="1:9" ht="19.5" customHeight="1">
      <c r="A26" s="19">
        <v>9</v>
      </c>
      <c r="B26" s="6"/>
      <c r="C26" s="33" t="s">
        <v>57</v>
      </c>
      <c r="D26" s="34" t="s">
        <v>58</v>
      </c>
      <c r="E26" s="35" t="s">
        <v>38</v>
      </c>
      <c r="F26" s="35">
        <v>1</v>
      </c>
      <c r="G26" s="36">
        <v>150000</v>
      </c>
      <c r="H26" s="36">
        <f t="shared" si="0"/>
        <v>150000</v>
      </c>
      <c r="I26" s="24"/>
    </row>
    <row r="27" spans="1:9" ht="19.5" customHeight="1">
      <c r="A27" s="19">
        <v>10</v>
      </c>
      <c r="B27" s="6"/>
      <c r="C27" s="21" t="s">
        <v>59</v>
      </c>
      <c r="D27" s="22" t="s">
        <v>60</v>
      </c>
      <c r="E27" s="19" t="s">
        <v>38</v>
      </c>
      <c r="F27" s="19">
        <v>1</v>
      </c>
      <c r="G27" s="23">
        <v>50000</v>
      </c>
      <c r="H27" s="23">
        <f t="shared" si="0"/>
        <v>50000</v>
      </c>
      <c r="I27" s="24"/>
    </row>
    <row r="28" spans="1:9" ht="19.5" customHeight="1">
      <c r="A28" s="19">
        <v>11</v>
      </c>
      <c r="B28" s="6"/>
      <c r="C28" s="21" t="s">
        <v>61</v>
      </c>
      <c r="D28" s="22" t="s">
        <v>62</v>
      </c>
      <c r="E28" s="19" t="s">
        <v>38</v>
      </c>
      <c r="F28" s="19">
        <v>1</v>
      </c>
      <c r="G28" s="23">
        <v>60000</v>
      </c>
      <c r="H28" s="23">
        <f t="shared" si="0"/>
        <v>60000</v>
      </c>
      <c r="I28" s="24"/>
    </row>
    <row r="29" spans="1:9" ht="19.5" customHeight="1">
      <c r="A29" s="7" t="s">
        <v>63</v>
      </c>
      <c r="B29" s="7"/>
      <c r="C29" s="7"/>
      <c r="D29" s="7"/>
      <c r="E29" s="7"/>
      <c r="F29" s="7"/>
      <c r="G29" s="7"/>
      <c r="H29" s="25">
        <f>SUM(H22:H28)</f>
        <v>1450000</v>
      </c>
      <c r="I29" s="26"/>
    </row>
    <row r="31" spans="1:9" ht="21.75" customHeight="1">
      <c r="A31" s="8" t="s">
        <v>64</v>
      </c>
      <c r="B31" s="8"/>
      <c r="C31" s="8"/>
      <c r="D31" s="8"/>
      <c r="E31" s="8"/>
      <c r="F31" s="8"/>
      <c r="G31" s="8"/>
      <c r="H31" s="8"/>
      <c r="I31" s="8"/>
    </row>
    <row r="32" spans="1:9">
      <c r="A32" s="17" t="s">
        <v>26</v>
      </c>
      <c r="B32" s="18" t="s">
        <v>27</v>
      </c>
      <c r="C32" s="18" t="s">
        <v>28</v>
      </c>
      <c r="D32" s="18" t="s">
        <v>29</v>
      </c>
      <c r="E32" s="18" t="s">
        <v>30</v>
      </c>
      <c r="F32" s="18" t="s">
        <v>31</v>
      </c>
      <c r="G32" s="18" t="s">
        <v>32</v>
      </c>
      <c r="H32" s="18" t="s">
        <v>33</v>
      </c>
      <c r="I32" s="18" t="s">
        <v>34</v>
      </c>
    </row>
    <row r="33" spans="1:9" ht="19.5" customHeight="1">
      <c r="A33" s="19">
        <v>1</v>
      </c>
      <c r="B33" s="20" t="s">
        <v>35</v>
      </c>
      <c r="C33" s="21" t="s">
        <v>65</v>
      </c>
      <c r="D33" s="22" t="s">
        <v>66</v>
      </c>
      <c r="E33" s="19" t="s">
        <v>38</v>
      </c>
      <c r="F33" s="19">
        <v>1</v>
      </c>
      <c r="G33" s="23">
        <v>440000</v>
      </c>
      <c r="H33" s="23">
        <f>F33*G33</f>
        <v>440000</v>
      </c>
      <c r="I33" s="24"/>
    </row>
    <row r="34" spans="1:9" ht="19.5" customHeight="1">
      <c r="A34" s="7" t="s">
        <v>67</v>
      </c>
      <c r="B34" s="7"/>
      <c r="C34" s="7"/>
      <c r="D34" s="7"/>
      <c r="E34" s="7"/>
      <c r="F34" s="7"/>
      <c r="G34" s="7"/>
      <c r="H34" s="25">
        <f>SUM(H33:H33)</f>
        <v>440000</v>
      </c>
      <c r="I34" s="26"/>
    </row>
    <row r="35" spans="1:9" ht="19.5" customHeight="1">
      <c r="A35" s="19">
        <v>2</v>
      </c>
      <c r="B35" s="20" t="s">
        <v>40</v>
      </c>
      <c r="C35" s="21" t="s">
        <v>68</v>
      </c>
      <c r="D35" s="22" t="s">
        <v>69</v>
      </c>
      <c r="E35" s="19" t="s">
        <v>38</v>
      </c>
      <c r="F35" s="19">
        <v>1</v>
      </c>
      <c r="G35" s="23">
        <v>570000</v>
      </c>
      <c r="H35" s="23">
        <f>F35*G35</f>
        <v>570000</v>
      </c>
      <c r="I35" s="24"/>
    </row>
    <row r="36" spans="1:9" ht="19.5" customHeight="1">
      <c r="A36" s="7" t="s">
        <v>70</v>
      </c>
      <c r="B36" s="7"/>
      <c r="C36" s="7"/>
      <c r="D36" s="7"/>
      <c r="E36" s="7"/>
      <c r="F36" s="7"/>
      <c r="G36" s="7"/>
      <c r="H36" s="25">
        <f>SUM(H35:H35)</f>
        <v>570000</v>
      </c>
      <c r="I36" s="26"/>
    </row>
    <row r="37" spans="1:9" ht="19.5" customHeight="1">
      <c r="A37" s="19">
        <v>3</v>
      </c>
      <c r="B37" s="6" t="s">
        <v>44</v>
      </c>
      <c r="C37" s="21" t="s">
        <v>65</v>
      </c>
      <c r="D37" s="22" t="s">
        <v>66</v>
      </c>
      <c r="E37" s="19" t="s">
        <v>38</v>
      </c>
      <c r="F37" s="19">
        <v>1</v>
      </c>
      <c r="G37" s="23">
        <v>440000</v>
      </c>
      <c r="H37" s="23">
        <f>F37*G37</f>
        <v>440000</v>
      </c>
      <c r="I37" s="24"/>
    </row>
    <row r="38" spans="1:9" ht="19.5" customHeight="1">
      <c r="A38" s="19">
        <v>4</v>
      </c>
      <c r="B38" s="6"/>
      <c r="C38" s="21" t="s">
        <v>45</v>
      </c>
      <c r="D38" s="22" t="s">
        <v>46</v>
      </c>
      <c r="E38" s="19" t="s">
        <v>38</v>
      </c>
      <c r="F38" s="19">
        <v>1</v>
      </c>
      <c r="G38" s="23">
        <v>140000</v>
      </c>
      <c r="H38" s="23">
        <f>F38*G38</f>
        <v>140000</v>
      </c>
      <c r="I38" s="24"/>
    </row>
    <row r="39" spans="1:9" ht="19.5" customHeight="1">
      <c r="A39" s="7" t="s">
        <v>71</v>
      </c>
      <c r="B39" s="7"/>
      <c r="C39" s="7"/>
      <c r="D39" s="7"/>
      <c r="E39" s="7"/>
      <c r="F39" s="7"/>
      <c r="G39" s="7"/>
      <c r="H39" s="25">
        <f>SUM(H37:H38)</f>
        <v>580000</v>
      </c>
      <c r="I39" s="26"/>
    </row>
    <row r="40" spans="1:9" ht="15" customHeight="1">
      <c r="A40" s="5" t="s">
        <v>72</v>
      </c>
      <c r="B40" s="5"/>
      <c r="C40" s="5"/>
      <c r="D40" s="5"/>
      <c r="E40" s="5"/>
      <c r="F40" s="5"/>
      <c r="G40" s="5"/>
      <c r="H40" s="5"/>
      <c r="I40" s="5"/>
    </row>
    <row r="42" spans="1:9" ht="15" customHeight="1">
      <c r="A42" s="8" t="s">
        <v>73</v>
      </c>
      <c r="B42" s="8"/>
      <c r="C42" s="8"/>
      <c r="D42" s="8"/>
      <c r="E42" s="8"/>
      <c r="F42" s="8"/>
      <c r="G42" s="8"/>
      <c r="H42" s="8"/>
      <c r="I42" s="8"/>
    </row>
    <row r="43" spans="1:9" ht="24" customHeight="1">
      <c r="A43" s="4" t="s">
        <v>27</v>
      </c>
      <c r="B43" s="4"/>
      <c r="C43" s="17" t="s">
        <v>74</v>
      </c>
      <c r="D43" s="3" t="s">
        <v>75</v>
      </c>
      <c r="E43" s="3"/>
      <c r="F43" s="18" t="s">
        <v>76</v>
      </c>
      <c r="G43" s="18" t="s">
        <v>77</v>
      </c>
      <c r="H43" s="18" t="s">
        <v>78</v>
      </c>
      <c r="I43" s="18"/>
    </row>
    <row r="44" spans="1:9" ht="15" customHeight="1">
      <c r="A44" s="6" t="s">
        <v>35</v>
      </c>
      <c r="B44" s="6"/>
      <c r="C44" s="23">
        <f>H16</f>
        <v>440000</v>
      </c>
      <c r="D44" s="2">
        <f>H34</f>
        <v>440000</v>
      </c>
      <c r="E44" s="2"/>
      <c r="F44" s="27">
        <v>200</v>
      </c>
      <c r="G44" s="23">
        <f>C44*F44</f>
        <v>88000000</v>
      </c>
      <c r="H44" s="23">
        <f>D44*F44</f>
        <v>88000000</v>
      </c>
      <c r="I44" s="28"/>
    </row>
    <row r="45" spans="1:9" ht="15" customHeight="1">
      <c r="A45" s="6" t="s">
        <v>40</v>
      </c>
      <c r="B45" s="6"/>
      <c r="C45" s="23">
        <f>H18</f>
        <v>570000</v>
      </c>
      <c r="D45" s="2">
        <f>H36</f>
        <v>570000</v>
      </c>
      <c r="E45" s="2"/>
      <c r="F45" s="27">
        <v>300</v>
      </c>
      <c r="G45" s="23">
        <f>C45*F45</f>
        <v>171000000</v>
      </c>
      <c r="H45" s="23">
        <f>D45*F45</f>
        <v>171000000</v>
      </c>
      <c r="I45" s="28"/>
    </row>
    <row r="46" spans="1:9" ht="15" customHeight="1">
      <c r="A46" s="6" t="s">
        <v>44</v>
      </c>
      <c r="B46" s="6"/>
      <c r="C46" s="23">
        <f>H21</f>
        <v>580000</v>
      </c>
      <c r="D46" s="2">
        <f>H39</f>
        <v>580000</v>
      </c>
      <c r="E46" s="2"/>
      <c r="F46" s="27">
        <v>50</v>
      </c>
      <c r="G46" s="23">
        <f>C46*F46</f>
        <v>29000000</v>
      </c>
      <c r="H46" s="23">
        <f>D46*F46</f>
        <v>29000000</v>
      </c>
      <c r="I46" s="28"/>
    </row>
    <row r="47" spans="1:9" ht="15" customHeight="1">
      <c r="A47" s="6" t="s">
        <v>48</v>
      </c>
      <c r="B47" s="6"/>
      <c r="C47" s="23">
        <f>H29</f>
        <v>1450000</v>
      </c>
      <c r="D47" s="2">
        <f>H29</f>
        <v>1450000</v>
      </c>
      <c r="E47" s="2"/>
      <c r="F47" s="27">
        <v>100</v>
      </c>
      <c r="G47" s="23">
        <f>C47*F47</f>
        <v>145000000</v>
      </c>
      <c r="H47" s="23">
        <f>D47*F47</f>
        <v>145000000</v>
      </c>
      <c r="I47" s="28" t="s">
        <v>79</v>
      </c>
    </row>
    <row r="48" spans="1:9" ht="15" customHeight="1">
      <c r="A48" s="10" t="s">
        <v>80</v>
      </c>
      <c r="B48" s="10"/>
      <c r="C48" s="10"/>
      <c r="D48" s="10"/>
      <c r="E48" s="10"/>
      <c r="F48" s="10"/>
      <c r="G48" s="29">
        <f>SUM(G44:G47)</f>
        <v>433000000</v>
      </c>
      <c r="H48" s="29">
        <f>SUM(H44:H47)</f>
        <v>433000000</v>
      </c>
      <c r="I48" s="30"/>
    </row>
    <row r="50" spans="1:9">
      <c r="A50" s="31" t="s">
        <v>81</v>
      </c>
    </row>
    <row r="51" spans="1:9" ht="18" customHeight="1">
      <c r="A51" s="1" t="s">
        <v>82</v>
      </c>
      <c r="B51" s="1"/>
      <c r="C51" s="1"/>
      <c r="D51" s="1"/>
      <c r="E51" s="1"/>
      <c r="F51" s="1"/>
      <c r="G51" s="1"/>
      <c r="H51" s="1"/>
      <c r="I51" s="1"/>
    </row>
    <row r="52" spans="1:9" ht="18" customHeight="1">
      <c r="A52" s="1" t="s">
        <v>83</v>
      </c>
      <c r="B52" s="1"/>
      <c r="C52" s="1"/>
      <c r="D52" s="1"/>
      <c r="E52" s="1"/>
      <c r="F52" s="1"/>
      <c r="G52" s="1"/>
      <c r="H52" s="1"/>
      <c r="I52" s="1"/>
    </row>
    <row r="53" spans="1:9" ht="18" customHeight="1">
      <c r="A53" s="1" t="s">
        <v>84</v>
      </c>
      <c r="B53" s="1"/>
      <c r="C53" s="1"/>
      <c r="D53" s="1"/>
      <c r="E53" s="1"/>
      <c r="F53" s="1"/>
      <c r="G53" s="1"/>
      <c r="H53" s="1"/>
      <c r="I53" s="1"/>
    </row>
    <row r="54" spans="1:9" ht="18" customHeight="1">
      <c r="A54" s="1" t="s">
        <v>85</v>
      </c>
      <c r="B54" s="1"/>
      <c r="C54" s="1"/>
      <c r="D54" s="1"/>
      <c r="E54" s="1"/>
      <c r="F54" s="1"/>
      <c r="G54" s="1"/>
      <c r="H54" s="1"/>
      <c r="I54" s="1"/>
    </row>
    <row r="55" spans="1:9" ht="18" customHeight="1">
      <c r="A55" s="1" t="s">
        <v>86</v>
      </c>
      <c r="B55" s="1"/>
      <c r="C55" s="1"/>
      <c r="D55" s="1"/>
      <c r="E55" s="1"/>
      <c r="F55" s="1"/>
      <c r="G55" s="1"/>
      <c r="H55" s="1"/>
      <c r="I55" s="1"/>
    </row>
    <row r="56" spans="1:9" ht="18" customHeight="1">
      <c r="A56" s="32" t="s">
        <v>87</v>
      </c>
      <c r="B56" s="32"/>
      <c r="C56" s="32"/>
      <c r="D56" s="32"/>
      <c r="E56" s="32"/>
      <c r="F56" s="32"/>
      <c r="G56" s="32"/>
      <c r="H56" s="32"/>
      <c r="I56" s="32"/>
    </row>
  </sheetData>
  <mergeCells count="52">
    <mergeCell ref="A53:I53"/>
    <mergeCell ref="A54:I54"/>
    <mergeCell ref="A55:I55"/>
    <mergeCell ref="A56:I56"/>
    <mergeCell ref="A47:B47"/>
    <mergeCell ref="D47:E47"/>
    <mergeCell ref="A48:F48"/>
    <mergeCell ref="A51:I51"/>
    <mergeCell ref="A52:I52"/>
    <mergeCell ref="A44:B44"/>
    <mergeCell ref="D44:E44"/>
    <mergeCell ref="A45:B45"/>
    <mergeCell ref="D45:E45"/>
    <mergeCell ref="A46:B46"/>
    <mergeCell ref="D46:E46"/>
    <mergeCell ref="B37:B38"/>
    <mergeCell ref="A39:G39"/>
    <mergeCell ref="A40:I40"/>
    <mergeCell ref="A42:I42"/>
    <mergeCell ref="A43:B43"/>
    <mergeCell ref="D43:E43"/>
    <mergeCell ref="B22:B28"/>
    <mergeCell ref="A29:G29"/>
    <mergeCell ref="A31:I31"/>
    <mergeCell ref="A34:G34"/>
    <mergeCell ref="A36:G36"/>
    <mergeCell ref="A13:I13"/>
    <mergeCell ref="A16:G16"/>
    <mergeCell ref="A18:G18"/>
    <mergeCell ref="B19:B20"/>
    <mergeCell ref="A21:G21"/>
    <mergeCell ref="G7:I7"/>
    <mergeCell ref="A10:D10"/>
    <mergeCell ref="E10:I10"/>
    <mergeCell ref="A11:D11"/>
    <mergeCell ref="E11:I11"/>
    <mergeCell ref="A1:I1"/>
    <mergeCell ref="A3:B3"/>
    <mergeCell ref="C3:D3"/>
    <mergeCell ref="E3:E7"/>
    <mergeCell ref="G3:I3"/>
    <mergeCell ref="A4:B4"/>
    <mergeCell ref="C4:D4"/>
    <mergeCell ref="G4:I4"/>
    <mergeCell ref="A5:B5"/>
    <mergeCell ref="C5:D5"/>
    <mergeCell ref="G5:I5"/>
    <mergeCell ref="A6:B6"/>
    <mergeCell ref="C6:D6"/>
    <mergeCell ref="G6:I6"/>
    <mergeCell ref="A7:B7"/>
    <mergeCell ref="C7:D7"/>
  </mergeCells>
  <phoneticPr fontId="21" type="noConversion"/>
  <printOptions horizontalCentered="1"/>
  <pageMargins left="0.75" right="0.75" top="1" bottom="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민기 백</cp:lastModifiedBy>
  <cp:revision>0</cp:revision>
  <dcterms:created xsi:type="dcterms:W3CDTF">2026-10-06T04:11:43Z</dcterms:created>
  <dcterms:modified xsi:type="dcterms:W3CDTF">2026-10-06T05:08:00Z</dcterms:modified>
  <dc:language>en-US</dc:language>
</cp:coreProperties>
</file>