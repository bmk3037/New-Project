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82FB7955-840F-40BB-B281-EABA27AAAE12}" xr6:coauthVersionLast="47" xr6:coauthVersionMax="47" xr10:uidLastSave="{00000000-0000-0000-0000-000000000000}"/>
  <bookViews>
    <workbookView xWindow="7755" yWindow="285" windowWidth="18660" windowHeight="15345" tabRatio="500" xr2:uid="{00000000-000D-0000-FFFF-FFFF00000000}"/>
  </bookViews>
  <sheets>
    <sheet name="마진 요약" sheetId="1" r:id="rId1"/>
    <sheet name="매입 구성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9" i="1" l="1"/>
  <c r="N8" i="1"/>
  <c r="N7" i="1"/>
  <c r="N6" i="1"/>
  <c r="H28" i="2"/>
  <c r="G28" i="2"/>
  <c r="M10" i="1"/>
  <c r="M7" i="1"/>
  <c r="M8" i="1"/>
  <c r="M9" i="1"/>
  <c r="M6" i="1"/>
  <c r="H6" i="1"/>
  <c r="H8" i="1"/>
  <c r="H7" i="1"/>
  <c r="G31" i="2"/>
  <c r="H31" i="2" s="1"/>
  <c r="G30" i="2"/>
  <c r="H30" i="2" s="1"/>
  <c r="G29" i="2"/>
  <c r="G27" i="2"/>
  <c r="H27" i="2" s="1"/>
  <c r="G26" i="2"/>
  <c r="H26" i="2" s="1"/>
  <c r="G25" i="2"/>
  <c r="H25" i="2" s="1"/>
  <c r="G22" i="2"/>
  <c r="H22" i="2" s="1"/>
  <c r="G21" i="2"/>
  <c r="H21" i="2" s="1"/>
  <c r="G18" i="2"/>
  <c r="H18" i="2" s="1"/>
  <c r="G17" i="2"/>
  <c r="H17" i="2" s="1"/>
  <c r="H19" i="2" s="1"/>
  <c r="E8" i="1" s="1"/>
  <c r="G14" i="2"/>
  <c r="H14" i="2" s="1"/>
  <c r="H15" i="2" s="1"/>
  <c r="E15" i="1" s="1"/>
  <c r="G11" i="2"/>
  <c r="H11" i="2" s="1"/>
  <c r="H12" i="2" s="1"/>
  <c r="E7" i="1" s="1"/>
  <c r="G8" i="2"/>
  <c r="H8" i="2" s="1"/>
  <c r="H9" i="2" s="1"/>
  <c r="E14" i="1" s="1"/>
  <c r="G5" i="2"/>
  <c r="H5" i="2" s="1"/>
  <c r="H6" i="2" s="1"/>
  <c r="E6" i="1" s="1"/>
  <c r="H16" i="1"/>
  <c r="H15" i="1"/>
  <c r="H14" i="1"/>
  <c r="H29" i="2" l="1"/>
  <c r="H32" i="2"/>
  <c r="H23" i="2"/>
  <c r="E16" i="1" s="1"/>
  <c r="F8" i="1"/>
  <c r="I8" i="1"/>
  <c r="F15" i="1"/>
  <c r="I15" i="1"/>
  <c r="I7" i="1"/>
  <c r="F7" i="1"/>
  <c r="F14" i="1"/>
  <c r="I14" i="1"/>
  <c r="F6" i="1"/>
  <c r="I6" i="1"/>
  <c r="I16" i="1" l="1"/>
  <c r="F16" i="1"/>
  <c r="E9" i="1"/>
  <c r="E17" i="1"/>
  <c r="I17" i="1" s="1"/>
  <c r="I18" i="1" s="1"/>
  <c r="G8" i="1"/>
  <c r="J8" i="1"/>
  <c r="G15" i="1"/>
  <c r="J15" i="1"/>
  <c r="G7" i="1"/>
  <c r="J7" i="1"/>
  <c r="G14" i="1"/>
  <c r="J14" i="1"/>
  <c r="G6" i="1"/>
  <c r="J6" i="1"/>
  <c r="G16" i="1" l="1"/>
  <c r="J16" i="1"/>
  <c r="I9" i="1"/>
  <c r="I10" i="1" s="1"/>
  <c r="F9" i="1" l="1"/>
  <c r="D17" i="1"/>
  <c r="H9" i="1"/>
  <c r="H10" i="1" s="1"/>
  <c r="N10" i="1" s="1"/>
  <c r="J9" i="1" l="1"/>
  <c r="J10" i="1" s="1"/>
  <c r="A22" i="1"/>
  <c r="G9" i="1"/>
  <c r="F17" i="1"/>
  <c r="H17" i="1"/>
  <c r="H18" i="1" s="1"/>
  <c r="G10" i="1" l="1"/>
  <c r="A20" i="1"/>
  <c r="G17" i="1"/>
  <c r="J17" i="1"/>
  <c r="J18" i="1" s="1"/>
  <c r="G18" i="1" s="1"/>
  <c r="A2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tc={7FA66A21-0C49-46DF-A77D-A05AC9F26107}</author>
  </authors>
  <commentList>
    <comment ref="C28" authorId="0" shapeId="0" xr:uid="{7FA66A21-0C49-46DF-A77D-A05AC9F26107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추가된 품목</t>
      </text>
    </comment>
  </commentList>
</comments>
</file>

<file path=xl/sharedStrings.xml><?xml version="1.0" encoding="utf-8"?>
<sst xmlns="http://schemas.openxmlformats.org/spreadsheetml/2006/main" count="109" uniqueCount="54">
  <si>
    <r>
      <rPr>
        <b/>
        <sz val="15"/>
        <color rgb="FFC00000"/>
        <rFont val="WenQuanYi Zen Hei"/>
        <family val="2"/>
      </rPr>
      <t xml:space="preserve">견적 제출 시 마진 정리  </t>
    </r>
    <r>
      <rPr>
        <b/>
        <sz val="15"/>
        <color rgb="FFC00000"/>
        <rFont val="맑은 고딕"/>
        <family val="3"/>
        <charset val="129"/>
      </rPr>
      <t>[</t>
    </r>
    <r>
      <rPr>
        <b/>
        <sz val="15"/>
        <color rgb="FFC00000"/>
        <rFont val="WenQuanYi Zen Hei"/>
        <family val="2"/>
      </rPr>
      <t>내부용 — 외부 공유 금지</t>
    </r>
    <r>
      <rPr>
        <b/>
        <sz val="15"/>
        <color rgb="FFC00000"/>
        <rFont val="맑은 고딕"/>
        <family val="3"/>
        <charset val="129"/>
      </rPr>
      <t>]</t>
    </r>
  </si>
  <si>
    <r>
      <rPr>
        <sz val="9"/>
        <color rgb="FF595959"/>
        <rFont val="WenQuanYi Zen Hei"/>
        <family val="2"/>
      </rPr>
      <t xml:space="preserve">견적가 </t>
    </r>
    <r>
      <rPr>
        <sz val="9"/>
        <color rgb="FF595959"/>
        <rFont val="맑은 고딕"/>
        <family val="3"/>
        <charset val="129"/>
      </rPr>
      <t xml:space="preserve">= </t>
    </r>
    <r>
      <rPr>
        <sz val="9"/>
        <color rgb="FF595959"/>
        <rFont val="WenQuanYi Zen Hei"/>
        <family val="2"/>
      </rPr>
      <t xml:space="preserve">테크로스 제출 단가 </t>
    </r>
    <r>
      <rPr>
        <sz val="9"/>
        <color rgb="FF595959"/>
        <rFont val="맑은 고딕"/>
        <family val="3"/>
        <charset val="129"/>
      </rPr>
      <t>(</t>
    </r>
    <r>
      <rPr>
        <sz val="9"/>
        <color rgb="FF595959"/>
        <rFont val="WenQuanYi Zen Hei"/>
        <family val="2"/>
      </rPr>
      <t>타겟 프라이스</t>
    </r>
    <r>
      <rPr>
        <sz val="9"/>
        <color rgb="FF595959"/>
        <rFont val="맑은 고딕"/>
        <family val="3"/>
        <charset val="129"/>
      </rPr>
      <t xml:space="preserve">)  ·  </t>
    </r>
    <r>
      <rPr>
        <sz val="9"/>
        <color rgb="FF595959"/>
        <rFont val="WenQuanYi Zen Hei"/>
        <family val="2"/>
      </rPr>
      <t xml:space="preserve">매입가 </t>
    </r>
    <r>
      <rPr>
        <sz val="9"/>
        <color rgb="FF595959"/>
        <rFont val="맑은 고딕"/>
        <family val="3"/>
        <charset val="129"/>
      </rPr>
      <t xml:space="preserve">= Schneider </t>
    </r>
    <r>
      <rPr>
        <sz val="9"/>
        <color rgb="FF595959"/>
        <rFont val="WenQuanYi Zen Hei"/>
        <family val="2"/>
      </rPr>
      <t xml:space="preserve">협의 할인율 기준 </t>
    </r>
    <r>
      <rPr>
        <sz val="9"/>
        <color rgb="FF595959"/>
        <rFont val="맑은 고딕"/>
        <family val="3"/>
        <charset val="129"/>
      </rPr>
      <t>('</t>
    </r>
    <r>
      <rPr>
        <sz val="9"/>
        <color rgb="FF595959"/>
        <rFont val="WenQuanYi Zen Hei"/>
        <family val="2"/>
      </rPr>
      <t>매입 구성</t>
    </r>
    <r>
      <rPr>
        <sz val="9"/>
        <color rgb="FF595959"/>
        <rFont val="맑은 고딕"/>
        <family val="3"/>
        <charset val="129"/>
      </rPr>
      <t xml:space="preserve">' </t>
    </r>
    <r>
      <rPr>
        <sz val="9"/>
        <color rgb="FF595959"/>
        <rFont val="WenQuanYi Zen Hei"/>
        <family val="2"/>
      </rPr>
      <t>시트</t>
    </r>
    <r>
      <rPr>
        <sz val="9"/>
        <color rgb="FF595959"/>
        <rFont val="맑은 고딕"/>
        <family val="3"/>
        <charset val="129"/>
      </rPr>
      <t xml:space="preserve">)  ·  VAT </t>
    </r>
    <r>
      <rPr>
        <sz val="9"/>
        <color rgb="FF595959"/>
        <rFont val="WenQuanYi Zen Hei"/>
        <family val="2"/>
      </rPr>
      <t>별도</t>
    </r>
  </si>
  <si>
    <r>
      <rPr>
        <b/>
        <sz val="12"/>
        <color rgb="FF1F3864"/>
        <rFont val="맑은 고딕"/>
        <family val="3"/>
        <charset val="129"/>
      </rPr>
      <t>① DC24V</t>
    </r>
    <r>
      <rPr>
        <b/>
        <sz val="12"/>
        <color rgb="FF1F3864"/>
        <rFont val="WenQuanYi Zen Hei"/>
        <family val="2"/>
      </rPr>
      <t xml:space="preserve">로 납품 </t>
    </r>
    <r>
      <rPr>
        <b/>
        <sz val="12"/>
        <color rgb="FF1F3864"/>
        <rFont val="맑은 고딕"/>
        <family val="3"/>
        <charset val="129"/>
      </rPr>
      <t>(</t>
    </r>
    <r>
      <rPr>
        <b/>
        <sz val="12"/>
        <color rgb="FF1F3864"/>
        <rFont val="WenQuanYi Zen Hei"/>
        <family val="2"/>
      </rPr>
      <t>권장</t>
    </r>
    <r>
      <rPr>
        <b/>
        <sz val="12"/>
        <color rgb="FF1F3864"/>
        <rFont val="맑은 고딕"/>
        <family val="3"/>
        <charset val="129"/>
      </rPr>
      <t>)</t>
    </r>
  </si>
  <si>
    <t>프로젝트</t>
  </si>
  <si>
    <t>전원</t>
  </si>
  <si>
    <t>연간 수량</t>
  </si>
  <si>
    <r>
      <rPr>
        <b/>
        <sz val="9"/>
        <color rgb="FFFFFFFF"/>
        <rFont val="WenQuanYi Zen Hei"/>
        <family val="2"/>
      </rPr>
      <t xml:space="preserve">견적가 </t>
    </r>
    <r>
      <rPr>
        <b/>
        <sz val="9"/>
        <color rgb="FFFFFFFF"/>
        <rFont val="맑은 고딕"/>
        <family val="3"/>
        <charset val="129"/>
      </rPr>
      <t>(1</t>
    </r>
    <r>
      <rPr>
        <b/>
        <sz val="9"/>
        <color rgb="FFFFFFFF"/>
        <rFont val="WenQuanYi Zen Hei"/>
        <family val="2"/>
      </rPr>
      <t>대</t>
    </r>
    <r>
      <rPr>
        <b/>
        <sz val="9"/>
        <color rgb="FFFFFFFF"/>
        <rFont val="맑은 고딕"/>
        <family val="3"/>
        <charset val="129"/>
      </rPr>
      <t>)</t>
    </r>
  </si>
  <si>
    <r>
      <rPr>
        <b/>
        <sz val="9"/>
        <color rgb="FFFFFFFF"/>
        <rFont val="WenQuanYi Zen Hei"/>
        <family val="2"/>
      </rPr>
      <t xml:space="preserve">매입가 </t>
    </r>
    <r>
      <rPr>
        <b/>
        <sz val="9"/>
        <color rgb="FFFFFFFF"/>
        <rFont val="맑은 고딕"/>
        <family val="3"/>
        <charset val="129"/>
      </rPr>
      <t>(1</t>
    </r>
    <r>
      <rPr>
        <b/>
        <sz val="9"/>
        <color rgb="FFFFFFFF"/>
        <rFont val="WenQuanYi Zen Hei"/>
        <family val="2"/>
      </rPr>
      <t>대</t>
    </r>
    <r>
      <rPr>
        <b/>
        <sz val="9"/>
        <color rgb="FFFFFFFF"/>
        <rFont val="맑은 고딕"/>
        <family val="3"/>
        <charset val="129"/>
      </rPr>
      <t>)</t>
    </r>
  </si>
  <si>
    <r>
      <rPr>
        <b/>
        <sz val="9"/>
        <color rgb="FFFFFFFF"/>
        <rFont val="WenQuanYi Zen Hei"/>
        <family val="2"/>
      </rPr>
      <t xml:space="preserve">마진 </t>
    </r>
    <r>
      <rPr>
        <b/>
        <sz val="9"/>
        <color rgb="FFFFFFFF"/>
        <rFont val="맑은 고딕"/>
        <family val="3"/>
        <charset val="129"/>
      </rPr>
      <t>(1</t>
    </r>
    <r>
      <rPr>
        <b/>
        <sz val="9"/>
        <color rgb="FFFFFFFF"/>
        <rFont val="WenQuanYi Zen Hei"/>
        <family val="2"/>
      </rPr>
      <t>대</t>
    </r>
    <r>
      <rPr>
        <b/>
        <sz val="9"/>
        <color rgb="FFFFFFFF"/>
        <rFont val="맑은 고딕"/>
        <family val="3"/>
        <charset val="129"/>
      </rPr>
      <t>)</t>
    </r>
  </si>
  <si>
    <t>마진율</t>
  </si>
  <si>
    <t>연간 매출</t>
  </si>
  <si>
    <t>연간 매입</t>
  </si>
  <si>
    <t>연간 마진</t>
  </si>
  <si>
    <t>TSU</t>
  </si>
  <si>
    <t>DC24V</t>
  </si>
  <si>
    <t>ANU</t>
  </si>
  <si>
    <t>ANU-S</t>
  </si>
  <si>
    <t>MCC</t>
  </si>
  <si>
    <t>합계</t>
  </si>
  <si>
    <r>
      <rPr>
        <b/>
        <sz val="12"/>
        <color rgb="FF1F3864"/>
        <rFont val="맑은 고딕"/>
        <family val="3"/>
        <charset val="129"/>
      </rPr>
      <t>② AC220V</t>
    </r>
    <r>
      <rPr>
        <b/>
        <sz val="12"/>
        <color rgb="FF1F3864"/>
        <rFont val="WenQuanYi Zen Hei"/>
        <family val="2"/>
      </rPr>
      <t xml:space="preserve">로 납품 </t>
    </r>
    <r>
      <rPr>
        <b/>
        <sz val="12"/>
        <color rgb="FF1F3864"/>
        <rFont val="맑은 고딕"/>
        <family val="3"/>
        <charset val="129"/>
      </rPr>
      <t>(MCC</t>
    </r>
    <r>
      <rPr>
        <b/>
        <sz val="12"/>
        <color rgb="FF1F3864"/>
        <rFont val="WenQuanYi Zen Hei"/>
        <family val="2"/>
      </rPr>
      <t xml:space="preserve">는 </t>
    </r>
    <r>
      <rPr>
        <b/>
        <sz val="12"/>
        <color rgb="FF1F3864"/>
        <rFont val="맑은 고딕"/>
        <family val="3"/>
        <charset val="129"/>
      </rPr>
      <t>DC24V)</t>
    </r>
  </si>
  <si>
    <t>AC220V</t>
  </si>
  <si>
    <r>
      <rPr>
        <b/>
        <sz val="13"/>
        <color rgb="FF1F3864"/>
        <rFont val="WenQuanYi Zen Hei"/>
        <family val="2"/>
      </rPr>
      <t xml:space="preserve">매입 구성 </t>
    </r>
    <r>
      <rPr>
        <b/>
        <sz val="13"/>
        <color rgb="FF1F3864"/>
        <rFont val="맑은 고딕"/>
        <family val="3"/>
        <charset val="129"/>
      </rPr>
      <t xml:space="preserve">(Schneider </t>
    </r>
    <r>
      <rPr>
        <b/>
        <sz val="13"/>
        <color rgb="FF1F3864"/>
        <rFont val="WenQuanYi Zen Hei"/>
        <family val="2"/>
      </rPr>
      <t>협의 할인율</t>
    </r>
    <r>
      <rPr>
        <b/>
        <sz val="13"/>
        <color rgb="FF1F3864"/>
        <rFont val="맑은 고딕"/>
        <family val="3"/>
        <charset val="129"/>
      </rPr>
      <t xml:space="preserve">: CPU 0.40 / </t>
    </r>
    <r>
      <rPr>
        <b/>
        <sz val="13"/>
        <color rgb="FF1F3864"/>
        <rFont val="WenQuanYi Zen Hei"/>
        <family val="2"/>
      </rPr>
      <t xml:space="preserve">확장 모듈 </t>
    </r>
    <r>
      <rPr>
        <b/>
        <sz val="13"/>
        <color rgb="FF1F3864"/>
        <rFont val="맑은 고딕"/>
        <family val="3"/>
        <charset val="129"/>
      </rPr>
      <t>0.35)</t>
    </r>
  </si>
  <si>
    <r>
      <rPr>
        <sz val="9"/>
        <color rgb="FF595959"/>
        <rFont val="WenQuanYi Zen Hei"/>
        <family val="2"/>
      </rPr>
      <t xml:space="preserve">파란 글씨 </t>
    </r>
    <r>
      <rPr>
        <sz val="9"/>
        <color rgb="FF595959"/>
        <rFont val="맑은 고딕"/>
        <family val="3"/>
        <charset val="129"/>
      </rPr>
      <t xml:space="preserve">= </t>
    </r>
    <r>
      <rPr>
        <sz val="9"/>
        <color rgb="FF595959"/>
        <rFont val="WenQuanYi Zen Hei"/>
        <family val="2"/>
      </rPr>
      <t xml:space="preserve">입력값 </t>
    </r>
    <r>
      <rPr>
        <sz val="9"/>
        <color rgb="FF595959"/>
        <rFont val="맑은 고딕"/>
        <family val="3"/>
        <charset val="129"/>
      </rPr>
      <t>(</t>
    </r>
    <r>
      <rPr>
        <sz val="9"/>
        <color rgb="FF595959"/>
        <rFont val="WenQuanYi Zen Hei"/>
        <family val="2"/>
      </rPr>
      <t xml:space="preserve">리스트가 </t>
    </r>
    <r>
      <rPr>
        <sz val="9"/>
        <color rgb="FF595959"/>
        <rFont val="맑은 고딕"/>
        <family val="3"/>
        <charset val="129"/>
      </rPr>
      <t xml:space="preserve">· </t>
    </r>
    <r>
      <rPr>
        <sz val="9"/>
        <color rgb="FF595959"/>
        <rFont val="WenQuanYi Zen Hei"/>
        <family val="2"/>
      </rPr>
      <t xml:space="preserve">할인율 </t>
    </r>
    <r>
      <rPr>
        <sz val="9"/>
        <color rgb="FF595959"/>
        <rFont val="맑은 고딕"/>
        <family val="3"/>
        <charset val="129"/>
      </rPr>
      <t xml:space="preserve">· </t>
    </r>
    <r>
      <rPr>
        <sz val="9"/>
        <color rgb="FF595959"/>
        <rFont val="WenQuanYi Zen Hei"/>
        <family val="2"/>
      </rPr>
      <t>수량</t>
    </r>
    <r>
      <rPr>
        <sz val="9"/>
        <color rgb="FF595959"/>
        <rFont val="맑은 고딕"/>
        <family val="3"/>
        <charset val="129"/>
      </rPr>
      <t xml:space="preserve">). </t>
    </r>
    <r>
      <rPr>
        <sz val="9"/>
        <color rgb="FF595959"/>
        <rFont val="WenQuanYi Zen Hei"/>
        <family val="2"/>
      </rPr>
      <t>할인율이 바뀌면 여기만 고치면 됩니다</t>
    </r>
    <r>
      <rPr>
        <sz val="9"/>
        <color rgb="FF595959"/>
        <rFont val="맑은 고딕"/>
        <family val="3"/>
        <charset val="129"/>
      </rPr>
      <t>.</t>
    </r>
  </si>
  <si>
    <t>모델</t>
  </si>
  <si>
    <t>수량</t>
  </si>
  <si>
    <t>리스트가</t>
  </si>
  <si>
    <t>할인율</t>
  </si>
  <si>
    <t>매입 단가</t>
  </si>
  <si>
    <t>매입 금액</t>
  </si>
  <si>
    <t>TM241C24T</t>
  </si>
  <si>
    <r>
      <rPr>
        <b/>
        <sz val="9"/>
        <color rgb="FF000000"/>
        <rFont val="맑은 고딕"/>
        <family val="3"/>
        <charset val="129"/>
      </rPr>
      <t>TSU DC24V 1</t>
    </r>
    <r>
      <rPr>
        <b/>
        <sz val="9"/>
        <color rgb="FF000000"/>
        <rFont val="WenQuanYi Zen Hei"/>
        <family val="2"/>
      </rPr>
      <t>대 매입가</t>
    </r>
  </si>
  <si>
    <t>TM241C24R</t>
  </si>
  <si>
    <r>
      <rPr>
        <b/>
        <sz val="9"/>
        <color rgb="FF000000"/>
        <rFont val="맑은 고딕"/>
        <family val="3"/>
        <charset val="129"/>
      </rPr>
      <t>TSU AC220V 1</t>
    </r>
    <r>
      <rPr>
        <b/>
        <sz val="9"/>
        <color rgb="FF000000"/>
        <rFont val="WenQuanYi Zen Hei"/>
        <family val="2"/>
      </rPr>
      <t>대 매입가</t>
    </r>
  </si>
  <si>
    <t>TM241C40T</t>
  </si>
  <si>
    <r>
      <rPr>
        <b/>
        <sz val="9"/>
        <color rgb="FF000000"/>
        <rFont val="맑은 고딕"/>
        <family val="3"/>
        <charset val="129"/>
      </rPr>
      <t>ANU DC24V 1</t>
    </r>
    <r>
      <rPr>
        <b/>
        <sz val="9"/>
        <color rgb="FF000000"/>
        <rFont val="WenQuanYi Zen Hei"/>
        <family val="2"/>
      </rPr>
      <t>대 매입가</t>
    </r>
  </si>
  <si>
    <t>TM241C40R</t>
  </si>
  <si>
    <r>
      <rPr>
        <b/>
        <sz val="9"/>
        <color rgb="FF000000"/>
        <rFont val="맑은 고딕"/>
        <family val="3"/>
        <charset val="129"/>
      </rPr>
      <t>ANU AC220V 1</t>
    </r>
    <r>
      <rPr>
        <b/>
        <sz val="9"/>
        <color rgb="FF000000"/>
        <rFont val="WenQuanYi Zen Hei"/>
        <family val="2"/>
      </rPr>
      <t>대 매입가</t>
    </r>
  </si>
  <si>
    <t>TM3AQ2</t>
  </si>
  <si>
    <r>
      <rPr>
        <b/>
        <sz val="9"/>
        <color rgb="FF000000"/>
        <rFont val="맑은 고딕"/>
        <family val="3"/>
        <charset val="129"/>
      </rPr>
      <t>ANU-S DC24V 1</t>
    </r>
    <r>
      <rPr>
        <b/>
        <sz val="9"/>
        <color rgb="FF000000"/>
        <rFont val="WenQuanYi Zen Hei"/>
        <family val="2"/>
      </rPr>
      <t>대 매입가</t>
    </r>
  </si>
  <si>
    <r>
      <rPr>
        <b/>
        <sz val="9"/>
        <color rgb="FF000000"/>
        <rFont val="맑은 고딕"/>
        <family val="3"/>
        <charset val="129"/>
      </rPr>
      <t>ANU-S AC220V 1</t>
    </r>
    <r>
      <rPr>
        <b/>
        <sz val="9"/>
        <color rgb="FF000000"/>
        <rFont val="WenQuanYi Zen Hei"/>
        <family val="2"/>
      </rPr>
      <t>대 매입가</t>
    </r>
  </si>
  <si>
    <t>TM241CE40T</t>
  </si>
  <si>
    <t>TM3DI16</t>
  </si>
  <si>
    <t>TM3DQ16T</t>
  </si>
  <si>
    <t>TM3AQ4</t>
  </si>
  <si>
    <t>TM3XTRA1</t>
  </si>
  <si>
    <t>TM3XREC1</t>
  </si>
  <si>
    <r>
      <rPr>
        <b/>
        <sz val="9"/>
        <color rgb="FF000000"/>
        <rFont val="맑은 고딕"/>
        <family val="3"/>
        <charset val="129"/>
      </rPr>
      <t>MCC DC24V 1</t>
    </r>
    <r>
      <rPr>
        <b/>
        <sz val="9"/>
        <color rgb="FF000000"/>
        <rFont val="WenQuanYi Zen Hei"/>
        <family val="2"/>
      </rPr>
      <t>대 매입가</t>
    </r>
  </si>
  <si>
    <t>LS</t>
    <phoneticPr fontId="24" type="noConversion"/>
  </si>
  <si>
    <r>
      <t>LS</t>
    </r>
    <r>
      <rPr>
        <b/>
        <sz val="9"/>
        <color rgb="FFFFFFFF"/>
        <rFont val="맑은 고딕"/>
        <family val="2"/>
        <charset val="129"/>
      </rPr>
      <t>매출</t>
    </r>
    <phoneticPr fontId="24" type="noConversion"/>
  </si>
  <si>
    <t>MCC</t>
    <phoneticPr fontId="24" type="noConversion"/>
  </si>
  <si>
    <t>TM3DQ8T</t>
    <phoneticPr fontId="24" type="noConversion"/>
  </si>
  <si>
    <t>견적가</t>
    <phoneticPr fontId="24" type="noConversion"/>
  </si>
  <si>
    <r>
      <t xml:space="preserve">LS </t>
    </r>
    <r>
      <rPr>
        <b/>
        <sz val="9"/>
        <color rgb="FFFFFFFF"/>
        <rFont val="맑은 고딕"/>
        <family val="2"/>
        <charset val="129"/>
      </rPr>
      <t>대비</t>
    </r>
    <phoneticPr fontId="24" type="noConversion"/>
  </si>
  <si>
    <t>LS  타겟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</si>
</sst>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;\-#,##0;\-"/>
    <numFmt numFmtId="177" formatCode="0.0%"/>
    <numFmt numFmtId="179" formatCode="#,##0_ "/>
  </numFmts>
  <fonts count="28">
    <font>
      <sz val="11"/>
      <color theme="1"/>
      <name val="Calibri"/>
      <family val="2"/>
      <charset val="1"/>
    </font>
    <font>
      <b/>
      <sz val="15"/>
      <color rgb="FFC00000"/>
      <name val="WenQuanYi Zen Hei"/>
      <family val="2"/>
    </font>
    <font>
      <b/>
      <sz val="15"/>
      <color rgb="FFC00000"/>
      <name val="맑은 고딕"/>
      <family val="3"/>
      <charset val="129"/>
    </font>
    <font>
      <sz val="9"/>
      <color rgb="FF595959"/>
      <name val="WenQuanYi Zen Hei"/>
      <family val="2"/>
    </font>
    <font>
      <sz val="9"/>
      <color rgb="FF595959"/>
      <name val="맑은 고딕"/>
      <family val="3"/>
      <charset val="129"/>
    </font>
    <font>
      <b/>
      <sz val="12"/>
      <color rgb="FF1F3864"/>
      <name val="맑은 고딕"/>
      <family val="3"/>
      <charset val="129"/>
    </font>
    <font>
      <b/>
      <sz val="12"/>
      <color rgb="FF1F3864"/>
      <name val="WenQuanYi Zen Hei"/>
      <family val="2"/>
    </font>
    <font>
      <b/>
      <sz val="9"/>
      <color rgb="FFFFFFFF"/>
      <name val="WenQuanYi Zen Hei"/>
      <family val="2"/>
    </font>
    <font>
      <b/>
      <sz val="9"/>
      <color rgb="FFFFFFFF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0000FF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sz val="9"/>
      <color rgb="FF008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000000"/>
      <name val="WenQuanYi Zen Hei"/>
      <family val="2"/>
    </font>
    <font>
      <b/>
      <sz val="11"/>
      <color rgb="FF1F3864"/>
      <name val="맑은 고딕"/>
      <family val="3"/>
      <charset val="129"/>
    </font>
    <font>
      <b/>
      <sz val="10"/>
      <color rgb="FF008000"/>
      <name val="맑은 고딕"/>
      <family val="3"/>
      <charset val="129"/>
    </font>
    <font>
      <b/>
      <sz val="11"/>
      <color rgb="FFC00000"/>
      <name val="맑은 고딕"/>
      <family val="3"/>
      <charset val="129"/>
    </font>
    <font>
      <b/>
      <sz val="13"/>
      <color rgb="FF1F3864"/>
      <name val="WenQuanYi Zen Hei"/>
      <family val="2"/>
    </font>
    <font>
      <b/>
      <sz val="13"/>
      <color rgb="FF1F3864"/>
      <name val="맑은 고딕"/>
      <family val="3"/>
      <charset val="129"/>
    </font>
    <font>
      <b/>
      <sz val="9"/>
      <color rgb="FF000000"/>
      <name val="WenQuanYi Zen Hei"/>
      <family val="2"/>
    </font>
    <font>
      <b/>
      <sz val="9"/>
      <color rgb="FF000000"/>
      <name val="맑은 고딕"/>
      <family val="3"/>
      <charset val="129"/>
    </font>
    <font>
      <b/>
      <sz val="10"/>
      <color rgb="FF1F3864"/>
      <name val="맑은 고딕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2"/>
      <charset val="129"/>
    </font>
    <font>
      <b/>
      <sz val="9"/>
      <color rgb="FFFFFFFF"/>
      <name val="맑은 고딕"/>
      <family val="2"/>
      <charset val="129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F2F2F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22" fillId="4" borderId="1" xfId="0" applyFont="1" applyFill="1" applyBorder="1" applyAlignment="1">
      <alignment horizontal="right" vertical="center"/>
    </xf>
    <xf numFmtId="0" fontId="19" fillId="0" borderId="0" xfId="0" applyFont="1"/>
    <xf numFmtId="0" fontId="18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1" fillId="0" borderId="0" xfId="0" applyFont="1"/>
    <xf numFmtId="0" fontId="3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76" fontId="11" fillId="0" borderId="1" xfId="0" applyNumberFormat="1" applyFont="1" applyBorder="1" applyAlignment="1">
      <alignment horizontal="center" vertical="center" wrapText="1"/>
    </xf>
    <xf numFmtId="176" fontId="12" fillId="3" borderId="1" xfId="0" applyNumberFormat="1" applyFont="1" applyFill="1" applyBorder="1" applyAlignment="1">
      <alignment horizontal="right" vertical="center"/>
    </xf>
    <xf numFmtId="176" fontId="13" fillId="0" borderId="1" xfId="0" applyNumberFormat="1" applyFont="1" applyBorder="1" applyAlignment="1">
      <alignment horizontal="right" vertical="center"/>
    </xf>
    <xf numFmtId="176" fontId="9" fillId="0" borderId="1" xfId="0" applyNumberFormat="1" applyFont="1" applyBorder="1" applyAlignment="1">
      <alignment horizontal="right" vertical="center"/>
    </xf>
    <xf numFmtId="177" fontId="9" fillId="0" borderId="1" xfId="0" applyNumberFormat="1" applyFont="1" applyBorder="1" applyAlignment="1">
      <alignment horizontal="center" vertical="center" wrapText="1"/>
    </xf>
    <xf numFmtId="176" fontId="14" fillId="0" borderId="1" xfId="0" applyNumberFormat="1" applyFont="1" applyBorder="1" applyAlignment="1">
      <alignment horizontal="right" vertical="center"/>
    </xf>
    <xf numFmtId="177" fontId="16" fillId="4" borderId="1" xfId="0" applyNumberFormat="1" applyFont="1" applyFill="1" applyBorder="1" applyAlignment="1">
      <alignment horizontal="center" vertical="center" wrapText="1"/>
    </xf>
    <xf numFmtId="176" fontId="9" fillId="4" borderId="1" xfId="0" applyNumberFormat="1" applyFont="1" applyFill="1" applyBorder="1" applyAlignment="1">
      <alignment horizontal="right" vertical="center"/>
    </xf>
    <xf numFmtId="176" fontId="5" fillId="4" borderId="1" xfId="0" applyNumberFormat="1" applyFont="1" applyFill="1" applyBorder="1" applyAlignment="1">
      <alignment horizontal="right" vertical="center"/>
    </xf>
    <xf numFmtId="0" fontId="21" fillId="5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176" fontId="11" fillId="0" borderId="1" xfId="0" applyNumberFormat="1" applyFont="1" applyBorder="1" applyAlignment="1">
      <alignment horizontal="right" vertical="center"/>
    </xf>
    <xf numFmtId="2" fontId="11" fillId="0" borderId="1" xfId="0" applyNumberFormat="1" applyFont="1" applyBorder="1" applyAlignment="1">
      <alignment horizontal="center" vertical="center" wrapText="1"/>
    </xf>
    <xf numFmtId="176" fontId="10" fillId="0" borderId="1" xfId="0" applyNumberFormat="1" applyFont="1" applyBorder="1" applyAlignment="1">
      <alignment horizontal="right" vertical="center"/>
    </xf>
    <xf numFmtId="176" fontId="23" fillId="4" borderId="1" xfId="0" applyNumberFormat="1" applyFont="1" applyFill="1" applyBorder="1" applyAlignment="1">
      <alignment horizontal="right" vertical="center"/>
    </xf>
    <xf numFmtId="179" fontId="0" fillId="0" borderId="0" xfId="0" applyNumberFormat="1"/>
    <xf numFmtId="179" fontId="0" fillId="0" borderId="0" xfId="0" applyNumberFormat="1" applyAlignment="1">
      <alignment horizontal="center"/>
    </xf>
    <xf numFmtId="0" fontId="22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center" vertical="center" wrapText="1"/>
    </xf>
    <xf numFmtId="176" fontId="11" fillId="6" borderId="1" xfId="0" applyNumberFormat="1" applyFont="1" applyFill="1" applyBorder="1" applyAlignment="1">
      <alignment horizontal="right" vertical="center"/>
    </xf>
    <xf numFmtId="2" fontId="11" fillId="6" borderId="1" xfId="0" applyNumberFormat="1" applyFont="1" applyFill="1" applyBorder="1" applyAlignment="1">
      <alignment horizontal="center" vertical="center" wrapText="1"/>
    </xf>
    <xf numFmtId="176" fontId="10" fillId="6" borderId="1" xfId="0" applyNumberFormat="1" applyFont="1" applyFill="1" applyBorder="1" applyAlignment="1">
      <alignment horizontal="right" vertical="center"/>
    </xf>
    <xf numFmtId="176" fontId="17" fillId="7" borderId="1" xfId="0" applyNumberFormat="1" applyFont="1" applyFill="1" applyBorder="1" applyAlignment="1">
      <alignment horizontal="right" vertical="center"/>
    </xf>
    <xf numFmtId="0" fontId="7" fillId="2" borderId="0" xfId="0" applyFont="1" applyFill="1" applyBorder="1" applyAlignment="1">
      <alignment horizontal="center" vertical="center" wrapText="1"/>
    </xf>
    <xf numFmtId="177" fontId="0" fillId="0" borderId="0" xfId="0" applyNumberFormat="1"/>
    <xf numFmtId="179" fontId="25" fillId="0" borderId="0" xfId="0" applyNumberFormat="1" applyFont="1" applyAlignment="1">
      <alignment horizontal="center"/>
    </xf>
    <xf numFmtId="179" fontId="0" fillId="7" borderId="0" xfId="0" applyNumberFormat="1" applyFill="1" applyAlignment="1">
      <alignment horizontal="center"/>
    </xf>
    <xf numFmtId="177" fontId="0" fillId="7" borderId="0" xfId="0" applyNumberFormat="1" applyFill="1"/>
    <xf numFmtId="0" fontId="22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center" vertical="center" wrapText="1"/>
    </xf>
    <xf numFmtId="176" fontId="11" fillId="7" borderId="1" xfId="0" applyNumberFormat="1" applyFont="1" applyFill="1" applyBorder="1" applyAlignment="1">
      <alignment horizontal="right" vertical="center"/>
    </xf>
    <xf numFmtId="2" fontId="11" fillId="7" borderId="1" xfId="0" applyNumberFormat="1" applyFont="1" applyFill="1" applyBorder="1" applyAlignment="1">
      <alignment horizontal="center" vertical="center" wrapText="1"/>
    </xf>
    <xf numFmtId="176" fontId="10" fillId="7" borderId="1" xfId="0" applyNumberFormat="1" applyFont="1" applyFill="1" applyBorder="1" applyAlignment="1">
      <alignment horizontal="right" vertical="center"/>
    </xf>
    <xf numFmtId="176" fontId="9" fillId="0" borderId="2" xfId="0" applyNumberFormat="1" applyFont="1" applyFill="1" applyBorder="1" applyAlignment="1">
      <alignment horizontal="right" vertical="center"/>
    </xf>
  </cellXfs>
  <cellStyles count="1">
    <cellStyle name="표준" xfId="0" builtinId="0"/>
  </cellStyles>
  <dxfs count="2">
    <dxf>
      <font>
        <b/>
        <color rgb="FFC00000"/>
        <name val="맑은 고딕"/>
        <charset val="1"/>
      </font>
    </dxf>
    <dxf>
      <font>
        <b/>
        <color rgb="FFC00000"/>
        <name val="맑은 고딕"/>
        <charset val="1"/>
      </font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민기 백" id="{35BDDDB9-61AC-4CF4-91F2-21A19BD25D91}" userId="89de8881623fd753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8" dT="2026-10-06T04:59:40.18" personId="{35BDDDB9-61AC-4CF4-91F2-21A19BD25D91}" id="{7FA66A21-0C49-46DF-A77D-A05AC9F26107}">
    <text>추가된 품목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2"/>
  <sheetViews>
    <sheetView showGridLines="0" tabSelected="1" zoomScaleNormal="100" workbookViewId="0">
      <selection activeCell="M17" sqref="M16:M17"/>
    </sheetView>
  </sheetViews>
  <sheetFormatPr defaultColWidth="8.5703125" defaultRowHeight="15"/>
  <cols>
    <col min="1" max="3" width="9" customWidth="1"/>
    <col min="4" max="5" width="13" customWidth="1"/>
    <col min="6" max="6" width="12" customWidth="1"/>
    <col min="7" max="7" width="9" customWidth="1"/>
    <col min="8" max="9" width="14" customWidth="1"/>
    <col min="10" max="10" width="15.7109375" customWidth="1"/>
    <col min="12" max="12" width="10.28515625" style="29" bestFit="1" customWidth="1"/>
    <col min="13" max="13" width="16.140625" customWidth="1"/>
  </cols>
  <sheetData>
    <row r="1" spans="1:14" ht="24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4">
      <c r="A2" s="8" t="s">
        <v>1</v>
      </c>
    </row>
    <row r="4" spans="1:14" ht="21.75" customHeight="1">
      <c r="A4" s="6" t="s">
        <v>2</v>
      </c>
      <c r="B4" s="6"/>
      <c r="C4" s="6"/>
      <c r="D4" s="6"/>
      <c r="E4" s="6"/>
      <c r="F4" s="6"/>
      <c r="G4" s="6"/>
      <c r="H4" s="6"/>
      <c r="I4" s="6"/>
      <c r="J4" s="6"/>
    </row>
    <row r="5" spans="1:14" ht="27.75" customHeight="1">
      <c r="A5" s="9" t="s">
        <v>3</v>
      </c>
      <c r="B5" s="9" t="s">
        <v>4</v>
      </c>
      <c r="C5" s="9" t="s">
        <v>5</v>
      </c>
      <c r="D5" s="9" t="s">
        <v>6</v>
      </c>
      <c r="E5" s="9" t="s">
        <v>7</v>
      </c>
      <c r="F5" s="9" t="s">
        <v>8</v>
      </c>
      <c r="G5" s="9" t="s">
        <v>9</v>
      </c>
      <c r="H5" s="9" t="s">
        <v>10</v>
      </c>
      <c r="I5" s="9" t="s">
        <v>11</v>
      </c>
      <c r="J5" s="9" t="s">
        <v>12</v>
      </c>
      <c r="L5" s="9" t="s">
        <v>53</v>
      </c>
      <c r="M5" s="39" t="s">
        <v>48</v>
      </c>
      <c r="N5" s="39" t="s">
        <v>52</v>
      </c>
    </row>
    <row r="6" spans="1:14">
      <c r="A6" s="10" t="s">
        <v>13</v>
      </c>
      <c r="B6" s="11" t="s">
        <v>14</v>
      </c>
      <c r="C6" s="12">
        <v>200</v>
      </c>
      <c r="D6" s="13">
        <v>440000</v>
      </c>
      <c r="E6" s="14">
        <f>'매입 구성'!H6</f>
        <v>349200</v>
      </c>
      <c r="F6" s="15">
        <f>D6-E6</f>
        <v>90800</v>
      </c>
      <c r="G6" s="16">
        <f>IFERROR(F6/D6,0)</f>
        <v>0.20636363636363636</v>
      </c>
      <c r="H6" s="17">
        <f>C6*D6</f>
        <v>88000000</v>
      </c>
      <c r="I6" s="17">
        <f>C6*E6</f>
        <v>69840000</v>
      </c>
      <c r="J6" s="15">
        <f>C6*F6</f>
        <v>18160000</v>
      </c>
      <c r="L6" s="29">
        <v>520000</v>
      </c>
      <c r="M6" s="30">
        <f>L6*C6</f>
        <v>104000000</v>
      </c>
      <c r="N6" s="40">
        <f>D6/L6</f>
        <v>0.84615384615384615</v>
      </c>
    </row>
    <row r="7" spans="1:14">
      <c r="A7" s="10" t="s">
        <v>15</v>
      </c>
      <c r="B7" s="11" t="s">
        <v>14</v>
      </c>
      <c r="C7" s="12">
        <v>300</v>
      </c>
      <c r="D7" s="13">
        <v>570000</v>
      </c>
      <c r="E7" s="14">
        <f>'매입 구성'!H12</f>
        <v>371200</v>
      </c>
      <c r="F7" s="15">
        <f>D7-E7</f>
        <v>198800</v>
      </c>
      <c r="G7" s="16">
        <f>IFERROR(F7/D7,0)</f>
        <v>0.3487719298245614</v>
      </c>
      <c r="H7" s="17">
        <f>C7*D7</f>
        <v>171000000</v>
      </c>
      <c r="I7" s="17">
        <f>C7*E7</f>
        <v>111360000</v>
      </c>
      <c r="J7" s="15">
        <f>C7*F7</f>
        <v>59640000</v>
      </c>
      <c r="L7" s="29">
        <v>680000</v>
      </c>
      <c r="M7" s="30">
        <f t="shared" ref="M7:M9" si="0">L7*C7</f>
        <v>204000000</v>
      </c>
      <c r="N7" s="40">
        <f>D7/L7</f>
        <v>0.83823529411764708</v>
      </c>
    </row>
    <row r="8" spans="1:14">
      <c r="A8" s="10" t="s">
        <v>16</v>
      </c>
      <c r="B8" s="11" t="s">
        <v>14</v>
      </c>
      <c r="C8" s="12">
        <v>50</v>
      </c>
      <c r="D8" s="13">
        <v>580000</v>
      </c>
      <c r="E8" s="14">
        <f>'매입 구성'!H19</f>
        <v>470300</v>
      </c>
      <c r="F8" s="15">
        <f>D8-E8</f>
        <v>109700</v>
      </c>
      <c r="G8" s="16">
        <f>IFERROR(F8/D8,0)</f>
        <v>0.18913793103448276</v>
      </c>
      <c r="H8" s="17">
        <f>C8*D8</f>
        <v>29000000</v>
      </c>
      <c r="I8" s="17">
        <f>C8*E8</f>
        <v>23515000</v>
      </c>
      <c r="J8" s="15">
        <f>C8*F8</f>
        <v>5485000</v>
      </c>
      <c r="L8" s="29">
        <v>680000</v>
      </c>
      <c r="M8" s="30">
        <f t="shared" si="0"/>
        <v>34000000</v>
      </c>
      <c r="N8" s="40">
        <f>D8/L8</f>
        <v>0.8529411764705882</v>
      </c>
    </row>
    <row r="9" spans="1:14">
      <c r="A9" s="10" t="s">
        <v>17</v>
      </c>
      <c r="B9" s="11" t="s">
        <v>14</v>
      </c>
      <c r="C9" s="12">
        <v>100</v>
      </c>
      <c r="D9" s="13">
        <v>1450000</v>
      </c>
      <c r="E9" s="14">
        <f>'매입 구성'!H32</f>
        <v>1226900</v>
      </c>
      <c r="F9" s="15">
        <f>D9-E9</f>
        <v>223100</v>
      </c>
      <c r="G9" s="16">
        <f>IFERROR(F9/D9,0)</f>
        <v>0.15386206896551724</v>
      </c>
      <c r="H9" s="17">
        <f>C9*D9</f>
        <v>145000000</v>
      </c>
      <c r="I9" s="17">
        <f>C9*E9</f>
        <v>122690000</v>
      </c>
      <c r="J9" s="15">
        <f>C9*F9</f>
        <v>22310000</v>
      </c>
      <c r="L9" s="29">
        <v>1170000</v>
      </c>
      <c r="M9" s="30">
        <f t="shared" si="0"/>
        <v>117000000</v>
      </c>
      <c r="N9" s="40">
        <f>D9/L9</f>
        <v>1.2393162393162394</v>
      </c>
    </row>
    <row r="10" spans="1:14" ht="24" customHeight="1">
      <c r="A10" s="5" t="s">
        <v>18</v>
      </c>
      <c r="B10" s="5"/>
      <c r="C10" s="5"/>
      <c r="D10" s="5"/>
      <c r="E10" s="5"/>
      <c r="F10" s="5"/>
      <c r="G10" s="18">
        <f>IFERROR(J10/H10,0)</f>
        <v>0.24386836027713626</v>
      </c>
      <c r="H10" s="19">
        <f>SUM(H6:H9)</f>
        <v>433000000</v>
      </c>
      <c r="I10" s="19">
        <f>SUM(I6:I9)</f>
        <v>327405000</v>
      </c>
      <c r="J10" s="20">
        <f>SUM(J6:J9)</f>
        <v>105595000</v>
      </c>
      <c r="M10" s="42">
        <f>SUM(M6:M9)</f>
        <v>459000000</v>
      </c>
      <c r="N10" s="43">
        <f>H10/M10</f>
        <v>0.94335511982570808</v>
      </c>
    </row>
    <row r="11" spans="1:14">
      <c r="J11" s="51"/>
      <c r="K11" s="40"/>
    </row>
    <row r="12" spans="1:14" ht="21.75" customHeight="1">
      <c r="A12" s="6" t="s">
        <v>19</v>
      </c>
      <c r="B12" s="6"/>
      <c r="C12" s="6"/>
      <c r="D12" s="6"/>
      <c r="E12" s="6"/>
      <c r="F12" s="6"/>
      <c r="G12" s="6"/>
      <c r="H12" s="6"/>
      <c r="I12" s="6"/>
      <c r="J12" s="6"/>
    </row>
    <row r="13" spans="1:14" ht="27.75" customHeight="1">
      <c r="A13" s="9" t="s">
        <v>3</v>
      </c>
      <c r="B13" s="9" t="s">
        <v>4</v>
      </c>
      <c r="C13" s="9" t="s">
        <v>5</v>
      </c>
      <c r="D13" s="9" t="s">
        <v>6</v>
      </c>
      <c r="E13" s="9" t="s">
        <v>7</v>
      </c>
      <c r="F13" s="9" t="s">
        <v>8</v>
      </c>
      <c r="G13" s="9" t="s">
        <v>9</v>
      </c>
      <c r="H13" s="9" t="s">
        <v>10</v>
      </c>
      <c r="I13" s="9" t="s">
        <v>11</v>
      </c>
      <c r="J13" s="9" t="s">
        <v>12</v>
      </c>
      <c r="L13" s="30" t="s">
        <v>47</v>
      </c>
    </row>
    <row r="14" spans="1:14">
      <c r="A14" s="10" t="s">
        <v>13</v>
      </c>
      <c r="B14" s="11" t="s">
        <v>20</v>
      </c>
      <c r="C14" s="12">
        <v>200</v>
      </c>
      <c r="D14" s="13">
        <v>440000</v>
      </c>
      <c r="E14" s="14">
        <f>'매입 구성'!H9</f>
        <v>342000</v>
      </c>
      <c r="F14" s="15">
        <f>D14-E14</f>
        <v>98000</v>
      </c>
      <c r="G14" s="16">
        <f>IFERROR(F14/D14,0)</f>
        <v>0.22272727272727272</v>
      </c>
      <c r="H14" s="17">
        <f>C14*D14</f>
        <v>88000000</v>
      </c>
      <c r="I14" s="17">
        <f>C14*E14</f>
        <v>68400000</v>
      </c>
      <c r="J14" s="15">
        <f>C14*F14</f>
        <v>19600000</v>
      </c>
      <c r="L14" s="29">
        <v>520000</v>
      </c>
    </row>
    <row r="15" spans="1:14">
      <c r="A15" s="10" t="s">
        <v>15</v>
      </c>
      <c r="B15" s="11" t="s">
        <v>20</v>
      </c>
      <c r="C15" s="12">
        <v>300</v>
      </c>
      <c r="D15" s="13">
        <v>570000</v>
      </c>
      <c r="E15" s="14">
        <f>'매입 구성'!H15</f>
        <v>361200</v>
      </c>
      <c r="F15" s="15">
        <f>D15-E15</f>
        <v>208800</v>
      </c>
      <c r="G15" s="16">
        <f>IFERROR(F15/D15,0)</f>
        <v>0.36631578947368421</v>
      </c>
      <c r="H15" s="17">
        <f>C15*D15</f>
        <v>171000000</v>
      </c>
      <c r="I15" s="17">
        <f>C15*E15</f>
        <v>108360000</v>
      </c>
      <c r="J15" s="15">
        <f>C15*F15</f>
        <v>62640000</v>
      </c>
      <c r="L15" s="29">
        <v>680000</v>
      </c>
    </row>
    <row r="16" spans="1:14">
      <c r="A16" s="10" t="s">
        <v>16</v>
      </c>
      <c r="B16" s="11" t="s">
        <v>20</v>
      </c>
      <c r="C16" s="12">
        <v>50</v>
      </c>
      <c r="D16" s="13">
        <v>580000</v>
      </c>
      <c r="E16" s="14">
        <f>'매입 구성'!H23</f>
        <v>463100</v>
      </c>
      <c r="F16" s="15">
        <f>D16-E16</f>
        <v>116900</v>
      </c>
      <c r="G16" s="16">
        <f>IFERROR(F16/D16,0)</f>
        <v>0.20155172413793104</v>
      </c>
      <c r="H16" s="17">
        <f>C16*D16</f>
        <v>29000000</v>
      </c>
      <c r="I16" s="17">
        <f>C16*E16</f>
        <v>23155000</v>
      </c>
      <c r="J16" s="15">
        <f>C16*F16</f>
        <v>5845000</v>
      </c>
      <c r="L16" s="29">
        <v>680000</v>
      </c>
    </row>
    <row r="17" spans="1:12">
      <c r="A17" s="10" t="s">
        <v>17</v>
      </c>
      <c r="B17" s="11" t="s">
        <v>14</v>
      </c>
      <c r="C17" s="12">
        <v>100</v>
      </c>
      <c r="D17" s="38">
        <f>D9</f>
        <v>1450000</v>
      </c>
      <c r="E17" s="14">
        <f>'매입 구성'!H32</f>
        <v>1226900</v>
      </c>
      <c r="F17" s="15">
        <f>D17-E17</f>
        <v>223100</v>
      </c>
      <c r="G17" s="16">
        <f>IFERROR(F17/D17,0)</f>
        <v>0.15386206896551724</v>
      </c>
      <c r="H17" s="17">
        <f>C17*D17</f>
        <v>145000000</v>
      </c>
      <c r="I17" s="17">
        <f>C17*E17</f>
        <v>122690000</v>
      </c>
      <c r="J17" s="15">
        <f>C17*F17</f>
        <v>22310000</v>
      </c>
      <c r="L17" s="29">
        <v>1170000</v>
      </c>
    </row>
    <row r="18" spans="1:12" ht="24" customHeight="1">
      <c r="A18" s="5" t="s">
        <v>18</v>
      </c>
      <c r="B18" s="5"/>
      <c r="C18" s="5"/>
      <c r="D18" s="5"/>
      <c r="E18" s="5"/>
      <c r="F18" s="5"/>
      <c r="G18" s="18">
        <f>IFERROR(J18/H18,0)</f>
        <v>0.2549538106235566</v>
      </c>
      <c r="H18" s="19">
        <f>SUM(H14:H17)</f>
        <v>433000000</v>
      </c>
      <c r="I18" s="19">
        <f>SUM(I14:I17)</f>
        <v>322605000</v>
      </c>
      <c r="J18" s="20">
        <f>SUM(J14:J17)</f>
        <v>110395000</v>
      </c>
    </row>
    <row r="20" spans="1:12" ht="21.75" customHeight="1">
      <c r="A20" s="4" t="str">
        <f>"▶ DC24V로 견적 제출 시: 연간 "&amp;TEXT(J10,"#,##0")&amp;"원 남습니다 (마진율 "&amp;TEXT(G10,"0.0%")&amp;")"</f>
        <v>▶ DC24V로 견적 제출 시: 연간 105,595,000원 남습니다 (마진율 24.4%)</v>
      </c>
      <c r="B20" s="4"/>
      <c r="C20" s="4"/>
      <c r="D20" s="4"/>
      <c r="E20" s="4"/>
      <c r="F20" s="4"/>
      <c r="G20" s="4"/>
      <c r="H20" s="4"/>
      <c r="I20" s="4"/>
      <c r="J20" s="4"/>
    </row>
    <row r="21" spans="1:12" ht="21.75" customHeight="1">
      <c r="A21" s="4" t="str">
        <f>"▶ AC220V로 견적 제출 시: 연간 "&amp;TEXT(J18,"#,##0")&amp;"원 남습니다 (마진율 "&amp;TEXT(G18,"0.0%")&amp;")"</f>
        <v>▶ AC220V로 견적 제출 시: 연간 110,395,000원 남습니다 (마진율 25.5%)</v>
      </c>
      <c r="B21" s="4"/>
      <c r="C21" s="4"/>
      <c r="D21" s="4"/>
      <c r="E21" s="4"/>
      <c r="F21" s="4"/>
      <c r="G21" s="4"/>
      <c r="H21" s="4"/>
      <c r="I21" s="4"/>
      <c r="J21" s="4"/>
    </row>
    <row r="22" spans="1:12" ht="21.75" customHeight="1">
      <c r="A22" s="3" t="str">
        <f>IF(F9&lt;0,"▶ MCC는 1대 "&amp;TEXT(F9,"#,##0")&amp;"원 ("&amp;TEXT(G9,"0.0%")&amp;"), 연 "&amp;TEXT(J9,"#,##0")&amp;"원 손실 — TSU · ANU · ANU-S 마진으로 흡수","▶ MCC 마진: 1대 "&amp;TEXT(F9,"#,##0")&amp;"원")</f>
        <v>▶ MCC 마진: 1대 223,100원</v>
      </c>
      <c r="B22" s="3"/>
      <c r="C22" s="3"/>
      <c r="D22" s="3"/>
      <c r="E22" s="3"/>
      <c r="F22" s="3"/>
      <c r="G22" s="3"/>
      <c r="H22" s="3"/>
      <c r="I22" s="3"/>
      <c r="J22" s="3"/>
    </row>
  </sheetData>
  <mergeCells count="8">
    <mergeCell ref="A20:J20"/>
    <mergeCell ref="A21:J21"/>
    <mergeCell ref="A22:J22"/>
    <mergeCell ref="A1:J1"/>
    <mergeCell ref="A4:J4"/>
    <mergeCell ref="A10:F10"/>
    <mergeCell ref="A12:J12"/>
    <mergeCell ref="A18:F18"/>
  </mergeCells>
  <phoneticPr fontId="24" type="noConversion"/>
  <conditionalFormatting sqref="F6:J9 J11">
    <cfRule type="expression" dxfId="1" priority="2">
      <formula>F6&lt;0</formula>
    </cfRule>
  </conditionalFormatting>
  <conditionalFormatting sqref="F14:J17">
    <cfRule type="expression" dxfId="0" priority="3">
      <formula>F14&lt;0</formula>
    </cfRule>
  </conditionalFormatting>
  <pageMargins left="0.75" right="0.75" top="1" bottom="1" header="0.511811023622047" footer="0.511811023622047"/>
  <pageSetup paperSize="9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32"/>
  <sheetViews>
    <sheetView showGridLines="0" zoomScale="130" zoomScaleNormal="130" workbookViewId="0">
      <selection activeCell="J27" sqref="J27"/>
    </sheetView>
  </sheetViews>
  <sheetFormatPr defaultColWidth="8.5703125" defaultRowHeight="15"/>
  <cols>
    <col min="1" max="2" width="9" customWidth="1"/>
    <col min="3" max="3" width="13" customWidth="1"/>
    <col min="4" max="4" width="7" customWidth="1"/>
    <col min="5" max="5" width="12" customWidth="1"/>
    <col min="6" max="6" width="9" customWidth="1"/>
    <col min="7" max="7" width="12" customWidth="1"/>
    <col min="8" max="8" width="13" customWidth="1"/>
    <col min="9" max="9" width="12.140625" style="30" customWidth="1"/>
  </cols>
  <sheetData>
    <row r="1" spans="1:9" ht="19.5">
      <c r="A1" s="2" t="s">
        <v>21</v>
      </c>
      <c r="B1" s="2"/>
      <c r="C1" s="2"/>
      <c r="D1" s="2"/>
      <c r="E1" s="2"/>
      <c r="F1" s="2"/>
      <c r="G1" s="2"/>
      <c r="H1" s="2"/>
    </row>
    <row r="2" spans="1:9">
      <c r="A2" s="8" t="s">
        <v>22</v>
      </c>
    </row>
    <row r="4" spans="1:9" ht="16.5">
      <c r="A4" s="21" t="s">
        <v>3</v>
      </c>
      <c r="B4" s="21" t="s">
        <v>4</v>
      </c>
      <c r="C4" s="21" t="s">
        <v>23</v>
      </c>
      <c r="D4" s="21" t="s">
        <v>24</v>
      </c>
      <c r="E4" s="21" t="s">
        <v>25</v>
      </c>
      <c r="F4" s="21" t="s">
        <v>26</v>
      </c>
      <c r="G4" s="21" t="s">
        <v>27</v>
      </c>
      <c r="H4" s="21" t="s">
        <v>28</v>
      </c>
      <c r="I4" s="41" t="s">
        <v>51</v>
      </c>
    </row>
    <row r="5" spans="1:9">
      <c r="A5" s="22" t="s">
        <v>13</v>
      </c>
      <c r="B5" s="11" t="s">
        <v>14</v>
      </c>
      <c r="C5" s="23" t="s">
        <v>29</v>
      </c>
      <c r="D5" s="24">
        <v>1</v>
      </c>
      <c r="E5" s="25">
        <v>873000</v>
      </c>
      <c r="F5" s="26">
        <v>0.4</v>
      </c>
      <c r="G5" s="27">
        <f>ROUND(E5*F5,0)</f>
        <v>349200</v>
      </c>
      <c r="H5" s="27">
        <f>D5*G5</f>
        <v>349200</v>
      </c>
    </row>
    <row r="6" spans="1:9">
      <c r="A6" s="1" t="s">
        <v>30</v>
      </c>
      <c r="B6" s="1"/>
      <c r="C6" s="1"/>
      <c r="D6" s="1"/>
      <c r="E6" s="1"/>
      <c r="F6" s="1"/>
      <c r="G6" s="1"/>
      <c r="H6" s="28">
        <f>SUM(H5:H5)</f>
        <v>349200</v>
      </c>
      <c r="I6" s="30">
        <v>440000</v>
      </c>
    </row>
    <row r="8" spans="1:9">
      <c r="A8" s="22" t="s">
        <v>13</v>
      </c>
      <c r="B8" s="11" t="s">
        <v>20</v>
      </c>
      <c r="C8" s="23" t="s">
        <v>31</v>
      </c>
      <c r="D8" s="24">
        <v>1</v>
      </c>
      <c r="E8" s="25">
        <v>855000</v>
      </c>
      <c r="F8" s="26">
        <v>0.4</v>
      </c>
      <c r="G8" s="27">
        <f>ROUND(E8*F8,0)</f>
        <v>342000</v>
      </c>
      <c r="H8" s="27">
        <f>D8*G8</f>
        <v>342000</v>
      </c>
    </row>
    <row r="9" spans="1:9">
      <c r="A9" s="1" t="s">
        <v>32</v>
      </c>
      <c r="B9" s="1"/>
      <c r="C9" s="1"/>
      <c r="D9" s="1"/>
      <c r="E9" s="1"/>
      <c r="F9" s="1"/>
      <c r="G9" s="1"/>
      <c r="H9" s="28">
        <f>SUM(H8:H8)</f>
        <v>342000</v>
      </c>
      <c r="I9" s="30">
        <v>440000</v>
      </c>
    </row>
    <row r="11" spans="1:9">
      <c r="A11" s="22" t="s">
        <v>15</v>
      </c>
      <c r="B11" s="11" t="s">
        <v>14</v>
      </c>
      <c r="C11" s="23" t="s">
        <v>33</v>
      </c>
      <c r="D11" s="24">
        <v>1</v>
      </c>
      <c r="E11" s="25">
        <v>928000</v>
      </c>
      <c r="F11" s="26">
        <v>0.4</v>
      </c>
      <c r="G11" s="27">
        <f>ROUND(E11*F11,0)</f>
        <v>371200</v>
      </c>
      <c r="H11" s="27">
        <f>D11*G11</f>
        <v>371200</v>
      </c>
    </row>
    <row r="12" spans="1:9">
      <c r="A12" s="1" t="s">
        <v>34</v>
      </c>
      <c r="B12" s="1"/>
      <c r="C12" s="1"/>
      <c r="D12" s="1"/>
      <c r="E12" s="1"/>
      <c r="F12" s="1"/>
      <c r="G12" s="1"/>
      <c r="H12" s="28">
        <f>SUM(H11:H11)</f>
        <v>371200</v>
      </c>
      <c r="I12" s="30">
        <v>570000</v>
      </c>
    </row>
    <row r="14" spans="1:9">
      <c r="A14" s="22" t="s">
        <v>15</v>
      </c>
      <c r="B14" s="11" t="s">
        <v>20</v>
      </c>
      <c r="C14" s="23" t="s">
        <v>35</v>
      </c>
      <c r="D14" s="24">
        <v>1</v>
      </c>
      <c r="E14" s="25">
        <v>903000</v>
      </c>
      <c r="F14" s="26">
        <v>0.4</v>
      </c>
      <c r="G14" s="27">
        <f>ROUND(E14*F14,0)</f>
        <v>361200</v>
      </c>
      <c r="H14" s="27">
        <f>D14*G14</f>
        <v>361200</v>
      </c>
    </row>
    <row r="15" spans="1:9">
      <c r="A15" s="1" t="s">
        <v>36</v>
      </c>
      <c r="B15" s="1"/>
      <c r="C15" s="1"/>
      <c r="D15" s="1"/>
      <c r="E15" s="1"/>
      <c r="F15" s="1"/>
      <c r="G15" s="1"/>
      <c r="H15" s="28">
        <f>SUM(H14:H14)</f>
        <v>361200</v>
      </c>
      <c r="I15" s="30">
        <v>570000</v>
      </c>
    </row>
    <row r="17" spans="1:9">
      <c r="A17" s="22" t="s">
        <v>16</v>
      </c>
      <c r="B17" s="11" t="s">
        <v>14</v>
      </c>
      <c r="C17" s="23" t="s">
        <v>29</v>
      </c>
      <c r="D17" s="24">
        <v>1</v>
      </c>
      <c r="E17" s="25">
        <v>873000</v>
      </c>
      <c r="F17" s="26">
        <v>0.4</v>
      </c>
      <c r="G17" s="27">
        <f>ROUND(E17*F17,0)</f>
        <v>349200</v>
      </c>
      <c r="H17" s="27">
        <f>D17*G17</f>
        <v>349200</v>
      </c>
    </row>
    <row r="18" spans="1:9">
      <c r="A18" s="22" t="s">
        <v>16</v>
      </c>
      <c r="B18" s="11" t="s">
        <v>14</v>
      </c>
      <c r="C18" s="23" t="s">
        <v>37</v>
      </c>
      <c r="D18" s="24">
        <v>1</v>
      </c>
      <c r="E18" s="25">
        <v>346000</v>
      </c>
      <c r="F18" s="26">
        <v>0.35</v>
      </c>
      <c r="G18" s="27">
        <f>ROUND(E18*F18,0)</f>
        <v>121100</v>
      </c>
      <c r="H18" s="27">
        <f>D18*G18</f>
        <v>121100</v>
      </c>
    </row>
    <row r="19" spans="1:9">
      <c r="A19" s="1" t="s">
        <v>38</v>
      </c>
      <c r="B19" s="1"/>
      <c r="C19" s="1"/>
      <c r="D19" s="1"/>
      <c r="E19" s="1"/>
      <c r="F19" s="1"/>
      <c r="G19" s="1"/>
      <c r="H19" s="28">
        <f>SUM(H17:H18)</f>
        <v>470300</v>
      </c>
      <c r="I19" s="30">
        <v>580000</v>
      </c>
    </row>
    <row r="21" spans="1:9">
      <c r="A21" s="22" t="s">
        <v>16</v>
      </c>
      <c r="B21" s="11" t="s">
        <v>20</v>
      </c>
      <c r="C21" s="23" t="s">
        <v>31</v>
      </c>
      <c r="D21" s="24">
        <v>1</v>
      </c>
      <c r="E21" s="25">
        <v>855000</v>
      </c>
      <c r="F21" s="26">
        <v>0.4</v>
      </c>
      <c r="G21" s="27">
        <f>ROUND(E21*F21,0)</f>
        <v>342000</v>
      </c>
      <c r="H21" s="27">
        <f>D21*G21</f>
        <v>342000</v>
      </c>
    </row>
    <row r="22" spans="1:9">
      <c r="A22" s="22" t="s">
        <v>16</v>
      </c>
      <c r="B22" s="11" t="s">
        <v>20</v>
      </c>
      <c r="C22" s="23" t="s">
        <v>37</v>
      </c>
      <c r="D22" s="24">
        <v>1</v>
      </c>
      <c r="E22" s="25">
        <v>346000</v>
      </c>
      <c r="F22" s="26">
        <v>0.35</v>
      </c>
      <c r="G22" s="27">
        <f>ROUND(E22*F22,0)</f>
        <v>121100</v>
      </c>
      <c r="H22" s="27">
        <f>D22*G22</f>
        <v>121100</v>
      </c>
    </row>
    <row r="23" spans="1:9">
      <c r="A23" s="1" t="s">
        <v>39</v>
      </c>
      <c r="B23" s="1"/>
      <c r="C23" s="1"/>
      <c r="D23" s="1"/>
      <c r="E23" s="1"/>
      <c r="F23" s="1"/>
      <c r="G23" s="1"/>
      <c r="H23" s="28">
        <f>SUM(H21:H22)</f>
        <v>463100</v>
      </c>
      <c r="I23" s="30">
        <v>580000</v>
      </c>
    </row>
    <row r="25" spans="1:9">
      <c r="A25" s="22" t="s">
        <v>17</v>
      </c>
      <c r="B25" s="11" t="s">
        <v>14</v>
      </c>
      <c r="C25" s="23" t="s">
        <v>40</v>
      </c>
      <c r="D25" s="24">
        <v>1</v>
      </c>
      <c r="E25" s="25">
        <v>920000</v>
      </c>
      <c r="F25" s="26">
        <v>0.4</v>
      </c>
      <c r="G25" s="27">
        <f t="shared" ref="G25:G31" si="0">ROUND(E25*F25,0)</f>
        <v>368000</v>
      </c>
      <c r="H25" s="27">
        <f t="shared" ref="H25:H31" si="1">D25*G25</f>
        <v>368000</v>
      </c>
    </row>
    <row r="26" spans="1:9">
      <c r="A26" s="31" t="s">
        <v>17</v>
      </c>
      <c r="B26" s="32" t="s">
        <v>14</v>
      </c>
      <c r="C26" s="33" t="s">
        <v>41</v>
      </c>
      <c r="D26" s="34">
        <v>5</v>
      </c>
      <c r="E26" s="35">
        <v>228000</v>
      </c>
      <c r="F26" s="36">
        <v>0.35</v>
      </c>
      <c r="G26" s="37">
        <f t="shared" si="0"/>
        <v>79800</v>
      </c>
      <c r="H26" s="37">
        <f t="shared" si="1"/>
        <v>399000</v>
      </c>
    </row>
    <row r="27" spans="1:9">
      <c r="A27" s="31" t="s">
        <v>49</v>
      </c>
      <c r="B27" s="32" t="s">
        <v>14</v>
      </c>
      <c r="C27" s="33" t="s">
        <v>42</v>
      </c>
      <c r="D27" s="34">
        <v>2</v>
      </c>
      <c r="E27" s="35">
        <v>227000</v>
      </c>
      <c r="F27" s="36">
        <v>0.35</v>
      </c>
      <c r="G27" s="37">
        <f t="shared" si="0"/>
        <v>79450</v>
      </c>
      <c r="H27" s="37">
        <f t="shared" si="1"/>
        <v>158900</v>
      </c>
    </row>
    <row r="28" spans="1:9">
      <c r="A28" s="44" t="s">
        <v>49</v>
      </c>
      <c r="B28" s="45" t="s">
        <v>14</v>
      </c>
      <c r="C28" s="46" t="s">
        <v>50</v>
      </c>
      <c r="D28" s="47">
        <v>1</v>
      </c>
      <c r="E28" s="48">
        <v>168000</v>
      </c>
      <c r="F28" s="49">
        <v>0.35</v>
      </c>
      <c r="G28" s="50">
        <f t="shared" si="0"/>
        <v>58800</v>
      </c>
      <c r="H28" s="50">
        <f t="shared" si="1"/>
        <v>58800</v>
      </c>
    </row>
    <row r="29" spans="1:9">
      <c r="A29" s="31" t="s">
        <v>17</v>
      </c>
      <c r="B29" s="32" t="s">
        <v>14</v>
      </c>
      <c r="C29" s="33" t="s">
        <v>43</v>
      </c>
      <c r="D29" s="34">
        <v>1</v>
      </c>
      <c r="E29" s="35">
        <v>351000</v>
      </c>
      <c r="F29" s="36">
        <v>0.35</v>
      </c>
      <c r="G29" s="37">
        <f t="shared" si="0"/>
        <v>122850</v>
      </c>
      <c r="H29" s="37">
        <f t="shared" si="1"/>
        <v>122850</v>
      </c>
    </row>
    <row r="30" spans="1:9">
      <c r="A30" s="44" t="s">
        <v>17</v>
      </c>
      <c r="B30" s="45" t="s">
        <v>14</v>
      </c>
      <c r="C30" s="46" t="s">
        <v>44</v>
      </c>
      <c r="D30" s="47">
        <v>1</v>
      </c>
      <c r="E30" s="48">
        <v>156000</v>
      </c>
      <c r="F30" s="49">
        <v>0.35</v>
      </c>
      <c r="G30" s="50">
        <f t="shared" si="0"/>
        <v>54600</v>
      </c>
      <c r="H30" s="50">
        <f t="shared" si="1"/>
        <v>54600</v>
      </c>
    </row>
    <row r="31" spans="1:9">
      <c r="A31" s="44" t="s">
        <v>17</v>
      </c>
      <c r="B31" s="45" t="s">
        <v>14</v>
      </c>
      <c r="C31" s="46" t="s">
        <v>45</v>
      </c>
      <c r="D31" s="47">
        <v>1</v>
      </c>
      <c r="E31" s="48">
        <v>185000</v>
      </c>
      <c r="F31" s="49">
        <v>0.35</v>
      </c>
      <c r="G31" s="50">
        <f t="shared" si="0"/>
        <v>64750</v>
      </c>
      <c r="H31" s="50">
        <f t="shared" si="1"/>
        <v>64750</v>
      </c>
    </row>
    <row r="32" spans="1:9">
      <c r="A32" s="1" t="s">
        <v>46</v>
      </c>
      <c r="B32" s="1"/>
      <c r="C32" s="1"/>
      <c r="D32" s="1"/>
      <c r="E32" s="1"/>
      <c r="F32" s="1"/>
      <c r="G32" s="1"/>
      <c r="H32" s="28">
        <f>SUM(H25:H31)</f>
        <v>1226900</v>
      </c>
      <c r="I32" s="30">
        <v>1450000</v>
      </c>
    </row>
  </sheetData>
  <mergeCells count="8">
    <mergeCell ref="A19:G19"/>
    <mergeCell ref="A23:G23"/>
    <mergeCell ref="A32:G32"/>
    <mergeCell ref="A1:H1"/>
    <mergeCell ref="A6:G6"/>
    <mergeCell ref="A9:G9"/>
    <mergeCell ref="A12:G12"/>
    <mergeCell ref="A15:G15"/>
  </mergeCells>
  <phoneticPr fontId="24" type="noConversion"/>
  <pageMargins left="0.75" right="0.75" top="1" bottom="1" header="0.511811023622047" footer="0.511811023622047"/>
  <pageSetup paperSize="9" fitToHeight="0" orientation="landscape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마진 요약</vt:lpstr>
      <vt:lpstr>매입 구성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민기 백</cp:lastModifiedBy>
  <cp:revision>0</cp:revision>
  <dcterms:created xsi:type="dcterms:W3CDTF">2026-10-06T03:40:50Z</dcterms:created>
  <dcterms:modified xsi:type="dcterms:W3CDTF">2026-10-06T05:07:34Z</dcterms:modified>
  <dc:language>en-US</dc:language>
</cp:coreProperties>
</file>