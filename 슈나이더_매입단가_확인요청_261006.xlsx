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입 단가 확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<sst xmlns="http://schemas.openxmlformats.org/spreadsheetml/2006/main" count="153" uniqueCount="102">
  <si>
    <r>
      <rPr>
        <b val="true"/>
        <sz val="18"/>
        <color rgb="FF1F3864"/>
        <rFont val="맑은 고딕"/>
        <family val="0"/>
        <charset val="1"/>
      </rPr>
      <t xml:space="preserve">PLC </t>
    </r>
    <r>
      <rPr>
        <b val="true"/>
        <sz val="18"/>
        <color rgb="FF1F3864"/>
        <rFont val="WenQuanYi Zen Hei"/>
        <family val="2"/>
      </rPr>
      <t xml:space="preserve">매입 단가 확인 요청</t>
    </r>
  </si>
  <si>
    <r>
      <rPr>
        <sz val="9"/>
        <color rgb="FF595959"/>
        <rFont val="맑은 고딕"/>
        <family val="0"/>
        <charset val="1"/>
      </rPr>
      <t xml:space="preserve">Techross PLC </t>
    </r>
    <r>
      <rPr>
        <sz val="9"/>
        <color rgb="FF595959"/>
        <rFont val="WenQuanYi Zen Hei"/>
        <family val="2"/>
      </rPr>
      <t xml:space="preserve">교체 건 </t>
    </r>
    <r>
      <rPr>
        <sz val="9"/>
        <color rgb="FF595959"/>
        <rFont val="맑은 고딕"/>
        <family val="0"/>
        <charset val="1"/>
      </rPr>
      <t xml:space="preserve">(TSU · ANU · ANU-S · MCC)  ·  2026-10-06  ·  </t>
    </r>
    <r>
      <rPr>
        <sz val="9"/>
        <color rgb="FF595959"/>
        <rFont val="WenQuanYi Zen Hei"/>
        <family val="2"/>
      </rPr>
      <t xml:space="preserve">단위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, VAT </t>
    </r>
    <r>
      <rPr>
        <sz val="9"/>
        <color rgb="FF595959"/>
        <rFont val="WenQuanYi Zen Hei"/>
        <family val="2"/>
      </rPr>
      <t xml:space="preserve">별도</t>
    </r>
  </si>
  <si>
    <t xml:space="preserve">수신</t>
  </si>
  <si>
    <t xml:space="preserve">슈나이더일렉트릭  이선철 매니저님</t>
  </si>
  <si>
    <t xml:space="preserve">발신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</si>
  <si>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WenQuanYi Zen Hei"/>
        <family val="2"/>
      </rPr>
      <t xml:space="preserve">회사명</t>
    </r>
    <r>
      <rPr>
        <sz val="9"/>
        <color rgb="FF0000FF"/>
        <rFont val="맑은 고딕"/>
        <family val="0"/>
        <charset val="1"/>
      </rPr>
      <t xml:space="preserve">]  [</t>
    </r>
    <r>
      <rPr>
        <sz val="9"/>
        <color rgb="FF0000FF"/>
        <rFont val="WenQuanYi Zen Hei"/>
        <family val="2"/>
      </rPr>
      <t xml:space="preserve">담당자</t>
    </r>
    <r>
      <rPr>
        <sz val="9"/>
        <color rgb="FF0000FF"/>
        <rFont val="맑은 고딕"/>
        <family val="0"/>
        <charset val="1"/>
      </rPr>
      <t xml:space="preserve">] / [</t>
    </r>
    <r>
      <rPr>
        <sz val="9"/>
        <color rgb="FF0000FF"/>
        <rFont val="WenQuanYi Zen Hei"/>
        <family val="2"/>
      </rPr>
      <t xml:space="preserve">연락처</t>
    </r>
    <r>
      <rPr>
        <sz val="9"/>
        <color rgb="FF0000FF"/>
        <rFont val="맑은 고딕"/>
        <family val="0"/>
        <charset val="1"/>
      </rPr>
      <t xml:space="preserve">]</t>
    </r>
  </si>
  <si>
    <t xml:space="preserve">회신 요청</t>
  </si>
  <si>
    <r>
      <rPr>
        <sz val="9"/>
        <color rgb="FF0000FF"/>
        <rFont val="맑은 고딕"/>
        <family val="0"/>
        <charset val="1"/>
      </rPr>
      <t xml:space="preserve">[    </t>
    </r>
    <r>
      <rPr>
        <sz val="9"/>
        <color rgb="FF0000FF"/>
        <rFont val="WenQuanYi Zen Hei"/>
        <family val="2"/>
      </rPr>
      <t xml:space="preserve">월    일</t>
    </r>
    <r>
      <rPr>
        <sz val="9"/>
        <color rgb="FF0000FF"/>
        <rFont val="맑은 고딕"/>
        <family val="0"/>
        <charset val="1"/>
      </rPr>
      <t xml:space="preserve">]</t>
    </r>
    <r>
      <rPr>
        <sz val="9"/>
        <color rgb="FF0000FF"/>
        <rFont val="WenQuanYi Zen Hei"/>
        <family val="2"/>
      </rPr>
      <t xml:space="preserve">까지  —  아래 </t>
    </r>
    <r>
      <rPr>
        <sz val="9"/>
        <color rgb="FF0000FF"/>
        <rFont val="맑은 고딕"/>
        <family val="0"/>
        <charset val="1"/>
      </rPr>
      <t xml:space="preserve">'</t>
    </r>
    <r>
      <rPr>
        <sz val="9"/>
        <color rgb="FF0000FF"/>
        <rFont val="WenQuanYi Zen Hei"/>
        <family val="2"/>
      </rPr>
      <t xml:space="preserve">확인</t>
    </r>
    <r>
      <rPr>
        <sz val="9"/>
        <color rgb="FF0000FF"/>
        <rFont val="맑은 고딕"/>
        <family val="0"/>
        <charset val="1"/>
      </rPr>
      <t xml:space="preserve">' </t>
    </r>
    <r>
      <rPr>
        <sz val="9"/>
        <color rgb="FF0000FF"/>
        <rFont val="WenQuanYi Zen Hei"/>
        <family val="2"/>
      </rPr>
      <t xml:space="preserve">칸에 </t>
    </r>
    <r>
      <rPr>
        <sz val="9"/>
        <color rgb="FF0000FF"/>
        <rFont val="맑은 고딕"/>
        <family val="0"/>
        <charset val="1"/>
      </rPr>
      <t xml:space="preserve">O/X, </t>
    </r>
    <r>
      <rPr>
        <sz val="9"/>
        <color rgb="FF0000FF"/>
        <rFont val="WenQuanYi Zen Hei"/>
        <family val="2"/>
      </rPr>
      <t xml:space="preserve">수정 사항은 </t>
    </r>
    <r>
      <rPr>
        <sz val="9"/>
        <color rgb="FF0000FF"/>
        <rFont val="맑은 고딕"/>
        <family val="0"/>
        <charset val="1"/>
      </rPr>
      <t xml:space="preserve">'</t>
    </r>
    <r>
      <rPr>
        <sz val="9"/>
        <color rgb="FF0000FF"/>
        <rFont val="WenQuanYi Zen Hei"/>
        <family val="2"/>
      </rPr>
      <t xml:space="preserve">코멘트</t>
    </r>
    <r>
      <rPr>
        <sz val="9"/>
        <color rgb="FF0000FF"/>
        <rFont val="맑은 고딕"/>
        <family val="0"/>
        <charset val="1"/>
      </rPr>
      <t xml:space="preserve">' </t>
    </r>
    <r>
      <rPr>
        <sz val="9"/>
        <color rgb="FF0000FF"/>
        <rFont val="WenQuanYi Zen Hei"/>
        <family val="2"/>
      </rPr>
      <t xml:space="preserve">칸에 기재 부탁드립니다</t>
    </r>
    <r>
      <rPr>
        <sz val="9"/>
        <color rgb="FF0000FF"/>
        <rFont val="맑은 고딕"/>
        <family val="0"/>
        <charset val="1"/>
      </rPr>
      <t xml:space="preserve">.</t>
    </r>
  </si>
  <si>
    <t xml:space="preserve">확인 요청 사항</t>
  </si>
  <si>
    <r>
      <rPr>
        <sz val="9"/>
        <color rgb="FF000000"/>
        <rFont val="WenQuanYi Zen Hei"/>
        <family val="2"/>
      </rPr>
      <t xml:space="preserve">① 협의 할인율 적용 확인</t>
    </r>
    <r>
      <rPr>
        <sz val="9"/>
        <color rgb="FF000000"/>
        <rFont val="맑은 고딕"/>
        <family val="0"/>
        <charset val="1"/>
      </rPr>
      <t xml:space="preserve">: CPU(TM241) 0.40 / </t>
    </r>
    <r>
      <rPr>
        <sz val="9"/>
        <color rgb="FF000000"/>
        <rFont val="WenQuanYi Zen Hei"/>
        <family val="2"/>
      </rPr>
      <t xml:space="preserve">확장 모듈</t>
    </r>
    <r>
      <rPr>
        <sz val="9"/>
        <color rgb="FF000000"/>
        <rFont val="맑은 고딕"/>
        <family val="0"/>
        <charset val="1"/>
      </rPr>
      <t xml:space="preserve">(TM3) 0.35</t>
    </r>
  </si>
  <si>
    <r>
      <rPr>
        <b val="true"/>
        <sz val="9"/>
        <color rgb="FF000000"/>
        <rFont val="WenQuanYi Zen Hei"/>
        <family val="2"/>
      </rPr>
      <t xml:space="preserve">② 노란색 품목</t>
    </r>
    <r>
      <rPr>
        <b val="true"/>
        <sz val="9"/>
        <color rgb="FF000000"/>
        <rFont val="맑은 고딕"/>
        <family val="0"/>
        <charset val="1"/>
      </rPr>
      <t xml:space="preserve">(MCC: TM3DQ16T · TM3DQ8T · TM3XTRA1 · TM3XREC1) </t>
    </r>
    <r>
      <rPr>
        <b val="true"/>
        <sz val="9"/>
        <color rgb="FF000000"/>
        <rFont val="WenQuanYi Zen Hei"/>
        <family val="2"/>
      </rPr>
      <t xml:space="preserve">리스트가 및 매입 단가 확인 — 특히 </t>
    </r>
    <r>
      <rPr>
        <b val="true"/>
        <sz val="9"/>
        <color rgb="FF000000"/>
        <rFont val="맑은 고딕"/>
        <family val="0"/>
        <charset val="1"/>
      </rPr>
      <t xml:space="preserve">TM3XTRA1 · TM3XREC1</t>
    </r>
    <r>
      <rPr>
        <b val="true"/>
        <sz val="9"/>
        <color rgb="FF000000"/>
        <rFont val="WenQuanYi Zen Hei"/>
        <family val="2"/>
      </rPr>
      <t xml:space="preserve">은 이번에 추가된 품목입니다 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아래 변경 내용 참고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</si>
  <si>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    → 확장 모듈 </t>
    </r>
    <r>
      <rPr>
        <b val="true"/>
        <sz val="9"/>
        <color rgb="FF000000"/>
        <rFont val="맑은 고딕"/>
        <family val="0"/>
        <charset val="1"/>
      </rPr>
      <t xml:space="preserve">9</t>
    </r>
    <r>
      <rPr>
        <b val="true"/>
        <sz val="9"/>
        <color rgb="FF000000"/>
        <rFont val="WenQuanYi Zen Hei"/>
        <family val="2"/>
      </rPr>
      <t xml:space="preserve">개 구성에서 버스 확장</t>
    </r>
    <r>
      <rPr>
        <b val="true"/>
        <sz val="9"/>
        <color rgb="FF000000"/>
        <rFont val="맑은 고딕"/>
        <family val="0"/>
        <charset val="1"/>
      </rPr>
      <t xml:space="preserve">(Local 7 + Remote 2) </t>
    </r>
    <r>
      <rPr>
        <b val="true"/>
        <sz val="9"/>
        <color rgb="FF000000"/>
        <rFont val="WenQuanYi Zen Hei"/>
        <family val="2"/>
      </rPr>
      <t xml:space="preserve">방식과 전원 용량이 적정한지도 함께 확인 부탁드립니다</t>
    </r>
  </si>
  <si>
    <r>
      <rPr>
        <sz val="9"/>
        <color rgb="FF000000"/>
        <rFont val="맑은 고딕"/>
        <family val="0"/>
        <charset val="1"/>
      </rPr>
      <t xml:space="preserve">③ (</t>
    </r>
    <r>
      <rPr>
        <sz val="9"/>
        <color rgb="FF000000"/>
        <rFont val="WenQuanYi Zen Hei"/>
        <family val="2"/>
      </rPr>
      <t xml:space="preserve">참고</t>
    </r>
    <r>
      <rPr>
        <sz val="9"/>
        <color rgb="FF000000"/>
        <rFont val="맑은 고딕"/>
        <family val="0"/>
        <charset val="1"/>
      </rPr>
      <t xml:space="preserve">) MCC </t>
    </r>
    <r>
      <rPr>
        <sz val="9"/>
        <color rgb="FF000000"/>
        <rFont val="WenQuanYi Zen Hei"/>
        <family val="2"/>
      </rPr>
      <t xml:space="preserve">출력을 </t>
    </r>
    <r>
      <rPr>
        <sz val="9"/>
        <color rgb="FF000000"/>
        <rFont val="맑은 고딕"/>
        <family val="0"/>
        <charset val="1"/>
      </rPr>
      <t xml:space="preserve">Relay</t>
    </r>
    <r>
      <rPr>
        <sz val="9"/>
        <color rgb="FF000000"/>
        <rFont val="WenQuanYi Zen Hei"/>
        <family val="2"/>
      </rPr>
      <t xml:space="preserve">로 할 경우 </t>
    </r>
    <r>
      <rPr>
        <sz val="9"/>
        <color rgb="FF000000"/>
        <rFont val="맑은 고딕"/>
        <family val="0"/>
        <charset val="1"/>
      </rPr>
      <t xml:space="preserve">TM3DQ16R · TM3DQ8R </t>
    </r>
    <r>
      <rPr>
        <sz val="9"/>
        <color rgb="FF000000"/>
        <rFont val="WenQuanYi Zen Hei"/>
        <family val="2"/>
      </rPr>
      <t xml:space="preserve">동일 조건 단가 확인 — 하단 참고 표</t>
    </r>
  </si>
  <si>
    <r>
      <rPr>
        <sz val="9"/>
        <color rgb="FF000000"/>
        <rFont val="맑은 고딕"/>
        <family val="0"/>
        <charset val="1"/>
      </rPr>
      <t xml:space="preserve">④ 2027</t>
    </r>
    <r>
      <rPr>
        <sz val="9"/>
        <color rgb="FF000000"/>
        <rFont val="WenQuanYi Zen Hei"/>
        <family val="2"/>
      </rPr>
      <t xml:space="preserve">년 공급 가격 적용 여부 및 단가 유효기간</t>
    </r>
  </si>
  <si>
    <r>
      <rPr>
        <sz val="9"/>
        <color rgb="FF000000"/>
        <rFont val="WenQuanYi Zen Hei"/>
        <family val="2"/>
      </rPr>
      <t xml:space="preserve">⑤ 품목별 납기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리드타임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</si>
  <si>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MCC </t>
    </r>
    <r>
      <rPr>
        <b val="true"/>
        <sz val="11"/>
        <color rgb="FF1F3864"/>
        <rFont val="WenQuanYi Zen Hei"/>
        <family val="2"/>
      </rPr>
      <t xml:space="preserve">구성 변경 내용 </t>
    </r>
    <r>
      <rPr>
        <b val="true"/>
        <sz val="11"/>
        <color rgb="FF1F3864"/>
        <rFont val="맑은 고딕"/>
        <family val="0"/>
        <charset val="1"/>
      </rPr>
      <t xml:space="preserve">(Schneider </t>
    </r>
    <r>
      <rPr>
        <b val="true"/>
        <sz val="11"/>
        <color rgb="FF1F3864"/>
        <rFont val="WenQuanYi Zen Hei"/>
        <family val="2"/>
      </rPr>
      <t xml:space="preserve">제안 대비</t>
    </r>
    <r>
      <rPr>
        <b val="true"/>
        <sz val="11"/>
        <color rgb="FF1F3864"/>
        <rFont val="맑은 고딕"/>
        <family val="0"/>
        <charset val="1"/>
      </rPr>
      <t xml:space="preserve">)  —  </t>
    </r>
    <r>
      <rPr>
        <b val="true"/>
        <sz val="11"/>
        <color rgb="FF1F3864"/>
        <rFont val="WenQuanYi Zen Hei"/>
        <family val="2"/>
      </rPr>
      <t xml:space="preserve">기준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기존 </t>
    </r>
    <r>
      <rPr>
        <b val="true"/>
        <sz val="11"/>
        <color rgb="FF1F3864"/>
        <rFont val="맑은 고딕"/>
        <family val="0"/>
        <charset val="1"/>
      </rPr>
      <t xml:space="preserve">ABB </t>
    </r>
    <r>
      <rPr>
        <b val="true"/>
        <sz val="11"/>
        <color rgb="FF1F3864"/>
        <rFont val="WenQuanYi Zen Hei"/>
        <family val="2"/>
      </rPr>
      <t xml:space="preserve">사양 현행 유지 </t>
    </r>
    <r>
      <rPr>
        <b val="true"/>
        <sz val="11"/>
        <color rgb="FF1F3864"/>
        <rFont val="맑은 고딕"/>
        <family val="0"/>
        <charset val="1"/>
      </rPr>
      <t xml:space="preserve">(DI 102 / DO 54 / AO 4)</t>
    </r>
  </si>
  <si>
    <t xml:space="preserve">구분</t>
  </si>
  <si>
    <r>
      <rPr>
        <b val="true"/>
        <sz val="9"/>
        <color rgb="FFFFFFFF"/>
        <rFont val="맑은 고딕"/>
        <family val="0"/>
        <charset val="1"/>
      </rPr>
      <t xml:space="preserve">Schneider </t>
    </r>
    <r>
      <rPr>
        <b val="true"/>
        <sz val="9"/>
        <color rgb="FFFFFFFF"/>
        <rFont val="WenQuanYi Zen Hei"/>
        <family val="2"/>
      </rPr>
      <t xml:space="preserve">제안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변경 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</si>
  <si>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현재 구성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변경 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</si>
  <si>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변경 사유</t>
  </si>
  <si>
    <t xml:space="preserve">디지털 입력</t>
  </si>
  <si>
    <r>
      <rPr>
        <sz val="9"/>
        <color rgb="FF7F7F7F"/>
        <rFont val="맑은 고딕"/>
        <family val="0"/>
        <charset val="1"/>
      </rPr>
      <t xml:space="preserve">TM3DI16 ×2 + TM3DI8
(CPU </t>
    </r>
    <r>
      <rPr>
        <sz val="9"/>
        <color rgb="FF7F7F7F"/>
        <rFont val="WenQuanYi Zen Hei"/>
        <family val="2"/>
      </rPr>
      <t xml:space="preserve">포함 </t>
    </r>
    <r>
      <rPr>
        <sz val="9"/>
        <color rgb="FF7F7F7F"/>
        <rFont val="맑은 고딕"/>
        <family val="0"/>
        <charset val="1"/>
      </rPr>
      <t xml:space="preserve">DI 64)</t>
    </r>
  </si>
  <si>
    <r>
      <rPr>
        <b val="true"/>
        <sz val="9"/>
        <color rgb="FF000000"/>
        <rFont val="맑은 고딕"/>
        <family val="0"/>
        <charset val="1"/>
      </rPr>
      <t xml:space="preserve">TM3DI16 ×5  (CPU </t>
    </r>
    <r>
      <rPr>
        <b val="true"/>
        <sz val="9"/>
        <color rgb="FF000000"/>
        <rFont val="WenQuanYi Zen Hei"/>
        <family val="2"/>
      </rPr>
      <t xml:space="preserve">포함 </t>
    </r>
    <r>
      <rPr>
        <b val="true"/>
        <sz val="9"/>
        <color rgb="FF000000"/>
        <rFont val="맑은 고딕"/>
        <family val="0"/>
        <charset val="1"/>
      </rPr>
      <t xml:space="preserve">DI 104)</t>
    </r>
  </si>
  <si>
    <r>
      <rPr>
        <sz val="9"/>
        <color rgb="FF000000"/>
        <rFont val="WenQuanYi Zen Hei"/>
        <family val="2"/>
      </rPr>
      <t xml:space="preserve">기존 입력 </t>
    </r>
    <r>
      <rPr>
        <sz val="9"/>
        <color rgb="FF000000"/>
        <rFont val="맑은 고딕"/>
        <family val="0"/>
        <charset val="1"/>
      </rPr>
      <t xml:space="preserve">102</t>
    </r>
    <r>
      <rPr>
        <sz val="9"/>
        <color rgb="FF000000"/>
        <rFont val="WenQuanYi Zen Hei"/>
        <family val="2"/>
      </rPr>
      <t xml:space="preserve">점 충족 </t>
    </r>
    <r>
      <rPr>
        <sz val="9"/>
        <color rgb="FF000000"/>
        <rFont val="맑은 고딕"/>
        <family val="0"/>
        <charset val="1"/>
      </rPr>
      <t xml:space="preserve">(DI562 ×6 + CPU)</t>
    </r>
  </si>
  <si>
    <t xml:space="preserve">디지털 출력</t>
  </si>
  <si>
    <r>
      <rPr>
        <sz val="9"/>
        <color rgb="FF7F7F7F"/>
        <rFont val="맑은 고딕"/>
        <family val="0"/>
        <charset val="1"/>
      </rPr>
      <t xml:space="preserve">TM3DQ16T ×1 + TM3DQ8T ×1
(CPU </t>
    </r>
    <r>
      <rPr>
        <sz val="9"/>
        <color rgb="FF7F7F7F"/>
        <rFont val="WenQuanYi Zen Hei"/>
        <family val="2"/>
      </rPr>
      <t xml:space="preserve">포함 </t>
    </r>
    <r>
      <rPr>
        <sz val="9"/>
        <color rgb="FF7F7F7F"/>
        <rFont val="맑은 고딕"/>
        <family val="0"/>
        <charset val="1"/>
      </rPr>
      <t xml:space="preserve">DO 40)</t>
    </r>
  </si>
  <si>
    <r>
      <rPr>
        <b val="true"/>
        <sz val="9"/>
        <color rgb="FF000000"/>
        <rFont val="맑은 고딕"/>
        <family val="0"/>
        <charset val="1"/>
      </rPr>
      <t xml:space="preserve">TM3DQ16T ×2 + TM3DQ8T ×1  (CPU </t>
    </r>
    <r>
      <rPr>
        <b val="true"/>
        <sz val="9"/>
        <color rgb="FF000000"/>
        <rFont val="WenQuanYi Zen Hei"/>
        <family val="2"/>
      </rPr>
      <t xml:space="preserve">포함 </t>
    </r>
    <r>
      <rPr>
        <b val="true"/>
        <sz val="9"/>
        <color rgb="FF000000"/>
        <rFont val="맑은 고딕"/>
        <family val="0"/>
        <charset val="1"/>
      </rPr>
      <t xml:space="preserve">DO 56)</t>
    </r>
  </si>
  <si>
    <r>
      <rPr>
        <sz val="9"/>
        <color rgb="FF000000"/>
        <rFont val="WenQuanYi Zen Hei"/>
        <family val="2"/>
      </rPr>
      <t xml:space="preserve">기존 출력 </t>
    </r>
    <r>
      <rPr>
        <sz val="9"/>
        <color rgb="FF000000"/>
        <rFont val="맑은 고딕"/>
        <family val="0"/>
        <charset val="1"/>
      </rPr>
      <t xml:space="preserve">54</t>
    </r>
    <r>
      <rPr>
        <sz val="9"/>
        <color rgb="FF000000"/>
        <rFont val="WenQuanYi Zen Hei"/>
        <family val="2"/>
      </rPr>
      <t xml:space="preserve">점 충족 </t>
    </r>
    <r>
      <rPr>
        <sz val="9"/>
        <color rgb="FF000000"/>
        <rFont val="맑은 고딕"/>
        <family val="0"/>
        <charset val="1"/>
      </rPr>
      <t xml:space="preserve">(DO573 ×3 + CPU)</t>
    </r>
  </si>
  <si>
    <t xml:space="preserve">아날로그 출력</t>
  </si>
  <si>
    <t xml:space="preserve">TM3AQ2 (AO 2)</t>
  </si>
  <si>
    <t xml:space="preserve">TM3AQ4 (AO 4)</t>
  </si>
  <si>
    <r>
      <rPr>
        <sz val="9"/>
        <color rgb="FF000000"/>
        <rFont val="WenQuanYi Zen Hei"/>
        <family val="2"/>
      </rPr>
      <t xml:space="preserve">기존 </t>
    </r>
    <r>
      <rPr>
        <sz val="9"/>
        <color rgb="FF000000"/>
        <rFont val="맑은 고딕"/>
        <family val="0"/>
        <charset val="1"/>
      </rPr>
      <t xml:space="preserve">AO 4CH </t>
    </r>
    <r>
      <rPr>
        <sz val="9"/>
        <color rgb="FF000000"/>
        <rFont val="WenQuanYi Zen Hei"/>
        <family val="2"/>
      </rPr>
      <t xml:space="preserve">충족 </t>
    </r>
    <r>
      <rPr>
        <sz val="9"/>
        <color rgb="FF000000"/>
        <rFont val="맑은 고딕"/>
        <family val="0"/>
        <charset val="1"/>
      </rPr>
      <t xml:space="preserve">(AO561 ×2)</t>
    </r>
  </si>
  <si>
    <t xml:space="preserve">버스 확장</t>
  </si>
  <si>
    <r>
      <rPr>
        <sz val="9"/>
        <color rgb="FF7F7F7F"/>
        <rFont val="WenQuanYi Zen Hei"/>
        <family val="2"/>
      </rPr>
      <t xml:space="preserve">없음 </t>
    </r>
    <r>
      <rPr>
        <sz val="9"/>
        <color rgb="FF7F7F7F"/>
        <rFont val="맑은 고딕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확장 모듈 </t>
    </r>
    <r>
      <rPr>
        <sz val="9"/>
        <color rgb="FF7F7F7F"/>
        <rFont val="맑은 고딕"/>
        <family val="0"/>
        <charset val="1"/>
      </rPr>
      <t xml:space="preserve">6</t>
    </r>
    <r>
      <rPr>
        <sz val="9"/>
        <color rgb="FF7F7F7F"/>
        <rFont val="WenQuanYi Zen Hei"/>
        <family val="2"/>
      </rPr>
      <t xml:space="preserve">개</t>
    </r>
    <r>
      <rPr>
        <sz val="9"/>
        <color rgb="FF7F7F7F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</si>
  <si>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맑은 고딕"/>
        <family val="0"/>
        <charset val="1"/>
      </rPr>
      <t xml:space="preserve">TM3XTRA1 + TM3XREC1  </t>
    </r>
    <r>
      <rPr>
        <b val="true"/>
        <sz val="9"/>
        <color rgb="FF000000"/>
        <rFont val="WenQuanYi Zen Hei"/>
        <family val="2"/>
      </rPr>
      <t xml:space="preserve">추가
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확장 모듈 </t>
    </r>
    <r>
      <rPr>
        <b val="true"/>
        <sz val="9"/>
        <color rgb="FF000000"/>
        <rFont val="맑은 고딕"/>
        <family val="0"/>
        <charset val="1"/>
      </rPr>
      <t xml:space="preserve">9</t>
    </r>
    <r>
      <rPr>
        <b val="true"/>
        <sz val="9"/>
        <color rgb="FF000000"/>
        <rFont val="WenQuanYi Zen Hei"/>
        <family val="2"/>
      </rPr>
      <t xml:space="preserve">개 </t>
    </r>
    <r>
      <rPr>
        <b val="true"/>
        <sz val="9"/>
        <color rgb="FF000000"/>
        <rFont val="맑은 고딕"/>
        <family val="0"/>
        <charset val="1"/>
      </rPr>
      <t xml:space="preserve">= Local 7 + Remote 2)</t>
    </r>
  </si>
  <si>
    <r>
      <rPr>
        <b val="true"/>
        <sz val="9"/>
        <color rgb="FFC00000"/>
        <rFont val="WenQuanYi Zen Hei"/>
        <family val="2"/>
      </rPr>
      <t xml:space="preserve">확장 모듈이 </t>
    </r>
    <r>
      <rPr>
        <b val="true"/>
        <sz val="9"/>
        <color rgb="FFC00000"/>
        <rFont val="맑은 고딕"/>
        <family val="0"/>
        <charset val="1"/>
      </rPr>
      <t xml:space="preserve">9</t>
    </r>
    <r>
      <rPr>
        <b val="true"/>
        <sz val="9"/>
        <color rgb="FFC00000"/>
        <rFont val="WenQuanYi Zen Hei"/>
        <family val="2"/>
      </rPr>
      <t xml:space="preserve">개로 늘어 </t>
    </r>
    <r>
      <rPr>
        <b val="true"/>
        <sz val="9"/>
        <color rgb="FFC00000"/>
        <rFont val="맑은 고딕"/>
        <family val="0"/>
        <charset val="1"/>
      </rPr>
      <t xml:space="preserve">M241 </t>
    </r>
    <r>
      <rPr>
        <b val="true"/>
        <sz val="9"/>
        <color rgb="FFC00000"/>
        <rFont val="WenQuanYi Zen Hei"/>
        <family val="2"/>
      </rPr>
      <t xml:space="preserve">직접 연결 한도</t>
    </r>
    <r>
      <rPr>
        <b val="true"/>
        <sz val="9"/>
        <color rgb="FFC00000"/>
        <rFont val="맑은 고딕"/>
        <family val="0"/>
        <charset val="1"/>
      </rPr>
      <t xml:space="preserve">(7</t>
    </r>
    <r>
      <rPr>
        <b val="true"/>
        <sz val="9"/>
        <color rgb="FFC00000"/>
        <rFont val="WenQuanYi Zen Hei"/>
        <family val="2"/>
      </rPr>
      <t xml:space="preserve">개</t>
    </r>
    <r>
      <rPr>
        <b val="true"/>
        <sz val="9"/>
        <color rgb="FFC00000"/>
        <rFont val="맑은 고딕"/>
        <family val="0"/>
        <charset val="1"/>
      </rPr>
      <t xml:space="preserve">) </t>
    </r>
    <r>
      <rPr>
        <b val="true"/>
        <sz val="9"/>
        <color rgb="FFC00000"/>
        <rFont val="WenQuanYi Zen Hei"/>
        <family val="2"/>
      </rPr>
      <t xml:space="preserve">초과 → 버스 확장 필요</t>
    </r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</si>
  <si>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프로젝트별 매입 구성 </t>
    </r>
    <r>
      <rPr>
        <b val="true"/>
        <sz val="11"/>
        <color rgb="FF1F3864"/>
        <rFont val="맑은 고딕"/>
        <family val="0"/>
        <charset val="1"/>
      </rPr>
      <t xml:space="preserve">(1</t>
    </r>
    <r>
      <rPr>
        <b val="true"/>
        <sz val="11"/>
        <color rgb="FF1F3864"/>
        <rFont val="WenQuanYi Zen Hei"/>
        <family val="2"/>
      </rPr>
      <t xml:space="preserve">대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</si>
  <si>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프로젝트</t>
  </si>
  <si>
    <t xml:space="preserve">전원</t>
  </si>
  <si>
    <t xml:space="preserve">모델</t>
  </si>
  <si>
    <t xml:space="preserve">품목</t>
  </si>
  <si>
    <t xml:space="preserve">수량</t>
  </si>
  <si>
    <t xml:space="preserve">리스트가</t>
  </si>
  <si>
    <t xml:space="preserve">할인율</t>
  </si>
  <si>
    <t xml:space="preserve">매입 단가</t>
  </si>
  <si>
    <t xml:space="preserve">매입 금액</t>
  </si>
  <si>
    <r>
      <rPr>
        <b val="true"/>
        <sz val="9"/>
        <color rgb="FFFFFFFF"/>
        <rFont val="WenQuanYi Zen Hei"/>
        <family val="2"/>
      </rPr>
      <t xml:space="preserve">확인
</t>
    </r>
    <r>
      <rPr>
        <b val="true"/>
        <sz val="9"/>
        <color rgb="FFFFFFFF"/>
        <rFont val="맑은 고딕"/>
        <family val="0"/>
        <charset val="1"/>
      </rPr>
      <t xml:space="preserve">(O/X)</t>
    </r>
  </si>
  <si>
    <t xml:space="preserve">코멘트</t>
  </si>
  <si>
    <t xml:space="preserve">TSU</t>
  </si>
  <si>
    <t xml:space="preserve">DC24V</t>
  </si>
  <si>
    <t xml:space="preserve">TM241C24T</t>
  </si>
  <si>
    <t xml:space="preserve">M241 CPU 24 I/O, TR, DC24V</t>
  </si>
  <si>
    <r>
      <rPr>
        <b val="true"/>
        <sz val="9"/>
        <color rgb="FF000000"/>
        <rFont val="맑은 고딕"/>
        <family val="0"/>
        <charset val="1"/>
      </rPr>
      <t xml:space="preserve">TSU DC24V 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</si>
  <si>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AC220V</t>
  </si>
  <si>
    <t xml:space="preserve">TM241C24R</t>
  </si>
  <si>
    <t xml:space="preserve">M241 CPU 24 I/O, Relay, AC</t>
  </si>
  <si>
    <r>
      <rPr>
        <b val="true"/>
        <sz val="9"/>
        <color rgb="FF000000"/>
        <rFont val="맑은 고딕"/>
        <family val="0"/>
        <charset val="1"/>
      </rPr>
      <t xml:space="preserve">TSU AC220V 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</si>
  <si>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ANU</t>
  </si>
  <si>
    <t xml:space="preserve">TM241C40T</t>
  </si>
  <si>
    <t xml:space="preserve">M241 CPU 40 I/O, TR, DC24V</t>
  </si>
  <si>
    <r>
      <rPr>
        <b val="true"/>
        <sz val="9"/>
        <color rgb="FF000000"/>
        <rFont val="맑은 고딕"/>
        <family val="0"/>
        <charset val="1"/>
      </rPr>
      <t xml:space="preserve">ANU DC24V 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</si>
  <si>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TM241C40R</t>
  </si>
  <si>
    <t xml:space="preserve">M241 CPU 40 I/O, Relay, AC</t>
  </si>
  <si>
    <r>
      <rPr>
        <b val="true"/>
        <sz val="9"/>
        <color rgb="FF000000"/>
        <rFont val="맑은 고딕"/>
        <family val="0"/>
        <charset val="1"/>
      </rPr>
      <t xml:space="preserve">ANU AC220V 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</si>
  <si>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ANU-S</t>
  </si>
  <si>
    <t xml:space="preserve">TM3AQ2</t>
  </si>
  <si>
    <r>
      <rPr>
        <sz val="8"/>
        <color rgb="FF000000"/>
        <rFont val="WenQuanYi Zen Hei"/>
        <family val="2"/>
      </rPr>
      <t xml:space="preserve">아날로그 출력 </t>
    </r>
    <r>
      <rPr>
        <sz val="8"/>
        <color rgb="FF000000"/>
        <rFont val="맑은 고딕"/>
        <family val="0"/>
        <charset val="1"/>
      </rPr>
      <t xml:space="preserve">2CH</t>
    </r>
  </si>
  <si>
    <r>
      <rPr>
        <b val="true"/>
        <sz val="9"/>
        <color rgb="FF000000"/>
        <rFont val="맑은 고딕"/>
        <family val="0"/>
        <charset val="1"/>
      </rPr>
      <t xml:space="preserve">ANU-S DC24V 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</si>
  <si>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000000"/>
        <rFont val="맑은 고딕"/>
        <family val="0"/>
        <charset val="1"/>
      </rPr>
      <t xml:space="preserve">ANU-S AC220V 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</si>
  <si>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MCC</t>
  </si>
  <si>
    <t xml:space="preserve">TM241CE40T</t>
  </si>
  <si>
    <t xml:space="preserve">M241 CPU 40 I/O, TR, Ethernet, DC24V</t>
  </si>
  <si>
    <t xml:space="preserve">TM3DI16</t>
  </si>
  <si>
    <r>
      <rPr>
        <sz val="8"/>
        <color rgb="FF000000"/>
        <rFont val="WenQuanYi Zen Hei"/>
        <family val="2"/>
      </rPr>
      <t xml:space="preserve">디지털 입력 </t>
    </r>
    <r>
      <rPr>
        <sz val="8"/>
        <color rgb="FF000000"/>
        <rFont val="맑은 고딕"/>
        <family val="0"/>
        <charset val="1"/>
      </rPr>
      <t xml:space="preserve">16</t>
    </r>
    <r>
      <rPr>
        <sz val="8"/>
        <color rgb="FF000000"/>
        <rFont val="WenQuanYi Zen Hei"/>
        <family val="2"/>
      </rPr>
      <t xml:space="preserve">점</t>
    </r>
  </si>
  <si>
    <t xml:space="preserve">TM3DQ16T</t>
  </si>
  <si>
    <r>
      <rPr>
        <sz val="8"/>
        <color rgb="FF000000"/>
        <rFont val="맑은 고딕"/>
        <family val="0"/>
        <charset val="1"/>
      </rPr>
      <t xml:space="preserve">TR </t>
    </r>
    <r>
      <rPr>
        <sz val="8"/>
        <color rgb="FF000000"/>
        <rFont val="WenQuanYi Zen Hei"/>
        <family val="2"/>
      </rPr>
      <t xml:space="preserve">출력 </t>
    </r>
    <r>
      <rPr>
        <sz val="8"/>
        <color rgb="FF000000"/>
        <rFont val="맑은 고딕"/>
        <family val="0"/>
        <charset val="1"/>
      </rPr>
      <t xml:space="preserve">16</t>
    </r>
    <r>
      <rPr>
        <sz val="8"/>
        <color rgb="FF000000"/>
        <rFont val="WenQuanYi Zen Hei"/>
        <family val="2"/>
      </rPr>
      <t xml:space="preserve">점</t>
    </r>
  </si>
  <si>
    <t xml:space="preserve">TM3DQ8T</t>
  </si>
  <si>
    <r>
      <rPr>
        <sz val="8"/>
        <color rgb="FF000000"/>
        <rFont val="맑은 고딕"/>
        <family val="0"/>
        <charset val="1"/>
      </rPr>
      <t xml:space="preserve">TR </t>
    </r>
    <r>
      <rPr>
        <sz val="8"/>
        <color rgb="FF000000"/>
        <rFont val="WenQuanYi Zen Hei"/>
        <family val="2"/>
      </rPr>
      <t xml:space="preserve">출력 </t>
    </r>
    <r>
      <rPr>
        <sz val="8"/>
        <color rgb="FF000000"/>
        <rFont val="맑은 고딕"/>
        <family val="0"/>
        <charset val="1"/>
      </rPr>
      <t xml:space="preserve">8</t>
    </r>
    <r>
      <rPr>
        <sz val="8"/>
        <color rgb="FF000000"/>
        <rFont val="WenQuanYi Zen Hei"/>
        <family val="2"/>
      </rPr>
      <t xml:space="preserve">점</t>
    </r>
  </si>
  <si>
    <t xml:space="preserve">TM3AQ4</t>
  </si>
  <si>
    <r>
      <rPr>
        <sz val="8"/>
        <color rgb="FF000000"/>
        <rFont val="WenQuanYi Zen Hei"/>
        <family val="2"/>
      </rPr>
      <t xml:space="preserve">아날로그 출력 </t>
    </r>
    <r>
      <rPr>
        <sz val="8"/>
        <color rgb="FF000000"/>
        <rFont val="맑은 고딕"/>
        <family val="0"/>
        <charset val="1"/>
      </rPr>
      <t xml:space="preserve">4CH</t>
    </r>
  </si>
  <si>
    <t xml:space="preserve">TM3XTRA1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</si>
  <si>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버스 확장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WenQuanYi Zen Hei"/>
        <family val="2"/>
      </rPr>
      <t xml:space="preserve">송신</t>
    </r>
    <r>
      <rPr>
        <sz val="8"/>
        <color rgb="FF000000"/>
        <rFont val="맑은 고딕"/>
        <family val="0"/>
        <charset val="1"/>
      </rPr>
      <t xml:space="preserve">) — </t>
    </r>
    <r>
      <rPr>
        <sz val="8"/>
        <color rgb="FF000000"/>
        <rFont val="WenQuanYi Zen Hei"/>
        <family val="2"/>
      </rPr>
      <t xml:space="preserve">추가</t>
    </r>
  </si>
  <si>
    <t xml:space="preserve">TM3XREC1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</si>
  <si>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버스 확장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WenQuanYi Zen Hei"/>
        <family val="2"/>
      </rPr>
      <t xml:space="preserve">수신</t>
    </r>
    <r>
      <rPr>
        <sz val="8"/>
        <color rgb="FF000000"/>
        <rFont val="맑은 고딕"/>
        <family val="0"/>
        <charset val="1"/>
      </rPr>
      <t xml:space="preserve">) — </t>
    </r>
    <r>
      <rPr>
        <sz val="8"/>
        <color rgb="FF000000"/>
        <rFont val="WenQuanYi Zen Hei"/>
        <family val="2"/>
      </rPr>
      <t xml:space="preserve">추가</t>
    </r>
  </si>
  <si>
    <r>
      <rPr>
        <b val="true"/>
        <sz val="9"/>
        <color rgb="FF000000"/>
        <rFont val="맑은 고딕"/>
        <family val="0"/>
        <charset val="1"/>
      </rPr>
      <t xml:space="preserve">MCC DC24V 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</si>
  <si>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11"/>
        <color rgb="FF1F3864"/>
        <rFont val="맑은 고딕"/>
        <family val="0"/>
        <charset val="1"/>
      </rPr>
      <t xml:space="preserve">2. 1</t>
    </r>
    <r>
      <rPr>
        <b val="true"/>
        <sz val="11"/>
        <color rgb="FF1F3864"/>
        <rFont val="WenQuanYi Zen Hei"/>
        <family val="2"/>
      </rPr>
      <t xml:space="preserve">대 매입가 요약 및 연간 예상 물량</t>
    </r>
  </si>
  <si>
    <r>
      <rPr>
        <b val="true"/>
        <sz val="9"/>
        <color rgb="FFFFFFFF"/>
        <rFont val="맑은 고딕"/>
        <family val="0"/>
        <charset val="1"/>
      </rPr>
      <t xml:space="preserve">1</t>
    </r>
    <r>
      <rPr>
        <b val="true"/>
        <sz val="9"/>
        <color rgb="FFFFFFFF"/>
        <rFont val="WenQuanYi Zen Hei"/>
        <family val="2"/>
      </rPr>
      <t xml:space="preserve">대 매입가
</t>
    </r>
    <r>
      <rPr>
        <b val="true"/>
        <sz val="9"/>
        <color rgb="FFFFFFFF"/>
        <rFont val="맑은 고딕"/>
        <family val="0"/>
        <charset val="1"/>
      </rPr>
      <t xml:space="preserve">DC24V</t>
    </r>
  </si>
  <si>
    <r>
      <rPr>
        <b val="true"/>
        <sz val="9"/>
        <color rgb="FFFFFFFF"/>
        <rFont val="맑은 고딕"/>
        <family val="0"/>
        <charset val="1"/>
      </rPr>
      <t xml:space="preserve">1</t>
    </r>
    <r>
      <rPr>
        <b val="true"/>
        <sz val="9"/>
        <color rgb="FFFFFFFF"/>
        <rFont val="WenQuanYi Zen Hei"/>
        <family val="2"/>
      </rPr>
      <t xml:space="preserve">대 매입가
</t>
    </r>
    <r>
      <rPr>
        <b val="true"/>
        <sz val="9"/>
        <color rgb="FFFFFFFF"/>
        <rFont val="맑은 고딕"/>
        <family val="0"/>
        <charset val="1"/>
      </rPr>
      <t xml:space="preserve">AC220V</t>
    </r>
  </si>
  <si>
    <t xml:space="preserve">연간
예상수량</t>
  </si>
  <si>
    <r>
      <rPr>
        <b val="true"/>
        <sz val="9"/>
        <color rgb="FFFFFFFF"/>
        <rFont val="WenQuanYi Zen Hei"/>
        <family val="2"/>
      </rPr>
      <t xml:space="preserve">연간 매입
</t>
    </r>
    <r>
      <rPr>
        <b val="true"/>
        <sz val="9"/>
        <color rgb="FFFFFFFF"/>
        <rFont val="맑은 고딕"/>
        <family val="0"/>
        <charset val="1"/>
      </rPr>
      <t xml:space="preserve">DC24V </t>
    </r>
    <r>
      <rPr>
        <b val="true"/>
        <sz val="9"/>
        <color rgb="FFFFFFFF"/>
        <rFont val="WenQuanYi Zen Hei"/>
        <family val="2"/>
      </rPr>
      <t xml:space="preserve">기준</t>
    </r>
  </si>
  <si>
    <r>
      <rPr>
        <b val="true"/>
        <sz val="9"/>
        <color rgb="FFFFFFFF"/>
        <rFont val="WenQuanYi Zen Hei"/>
        <family val="2"/>
      </rPr>
      <t xml:space="preserve">연간 매입
</t>
    </r>
    <r>
      <rPr>
        <b val="true"/>
        <sz val="9"/>
        <color rgb="FFFFFFFF"/>
        <rFont val="맑은 고딕"/>
        <family val="0"/>
        <charset val="1"/>
      </rPr>
      <t xml:space="preserve">AC220V </t>
    </r>
    <r>
      <rPr>
        <b val="true"/>
        <sz val="9"/>
        <color rgb="FFFFFFFF"/>
        <rFont val="WenQuanYi Zen Hei"/>
        <family val="2"/>
      </rPr>
      <t xml:space="preserve">기준</t>
    </r>
  </si>
  <si>
    <t xml:space="preserve">합계</t>
  </si>
  <si>
    <r>
      <rPr>
        <sz val="8"/>
        <color rgb="FF595959"/>
        <rFont val="WenQuanYi Zen Hei"/>
        <family val="2"/>
      </rPr>
      <t xml:space="preserve">※ 연간 예상수량은 고객 제시 기준</t>
    </r>
    <r>
      <rPr>
        <sz val="8"/>
        <color rgb="FF595959"/>
        <rFont val="맑은 고딕"/>
        <family val="0"/>
        <charset val="1"/>
      </rPr>
      <t xml:space="preserve">(TSU 200 / ANU 300 / ANU-S 50 / MCC 100 EA). MCC</t>
    </r>
    <r>
      <rPr>
        <sz val="8"/>
        <color rgb="FF595959"/>
        <rFont val="WenQuanYi Zen Hei"/>
        <family val="2"/>
      </rPr>
      <t xml:space="preserve">는 </t>
    </r>
    <r>
      <rPr>
        <sz val="8"/>
        <color rgb="FF595959"/>
        <rFont val="맑은 고딕"/>
        <family val="0"/>
        <charset val="1"/>
      </rPr>
      <t xml:space="preserve">AC220V </t>
    </r>
    <r>
      <rPr>
        <sz val="8"/>
        <color rgb="FF595959"/>
        <rFont val="WenQuanYi Zen Hei"/>
        <family val="2"/>
      </rPr>
      <t xml:space="preserve">기준에도 </t>
    </r>
    <r>
      <rPr>
        <sz val="8"/>
        <color rgb="FF595959"/>
        <rFont val="맑은 고딕"/>
        <family val="0"/>
        <charset val="1"/>
      </rPr>
      <t xml:space="preserve">DC24V </t>
    </r>
    <r>
      <rPr>
        <sz val="8"/>
        <color rgb="FF595959"/>
        <rFont val="WenQuanYi Zen Hei"/>
        <family val="2"/>
      </rPr>
      <t xml:space="preserve">구성으로 포함</t>
    </r>
    <r>
      <rPr>
        <sz val="8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</si>
  <si>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3. (</t>
    </r>
    <r>
      <rPr>
        <b val="true"/>
        <sz val="11"/>
        <color rgb="FF1F3864"/>
        <rFont val="WenQuanYi Zen Hei"/>
        <family val="2"/>
      </rPr>
      <t xml:space="preserve">참고</t>
    </r>
    <r>
      <rPr>
        <b val="true"/>
        <sz val="11"/>
        <color rgb="FF1F3864"/>
        <rFont val="맑은 고딕"/>
        <family val="0"/>
        <charset val="1"/>
      </rPr>
      <t xml:space="preserve">) MCC </t>
    </r>
    <r>
      <rPr>
        <b val="true"/>
        <sz val="11"/>
        <color rgb="FF1F3864"/>
        <rFont val="WenQuanYi Zen Hei"/>
        <family val="2"/>
      </rPr>
      <t xml:space="preserve">출력 </t>
    </r>
    <r>
      <rPr>
        <b val="true"/>
        <sz val="11"/>
        <color rgb="FF1F3864"/>
        <rFont val="맑은 고딕"/>
        <family val="0"/>
        <charset val="1"/>
      </rPr>
      <t xml:space="preserve">Relay </t>
    </r>
    <r>
      <rPr>
        <b val="true"/>
        <sz val="11"/>
        <color rgb="FF1F3864"/>
        <rFont val="WenQuanYi Zen Hei"/>
        <family val="2"/>
      </rPr>
      <t xml:space="preserve">대안 — 단가 확인 요청</t>
    </r>
  </si>
  <si>
    <r>
      <rPr>
        <b val="true"/>
        <sz val="9"/>
        <color rgb="FF000000"/>
        <rFont val="WenQuanYi Zen Hei"/>
        <family val="2"/>
      </rPr>
      <t xml:space="preserve">현재 </t>
    </r>
    <r>
      <rPr>
        <b val="true"/>
        <sz val="9"/>
        <color rgb="FF000000"/>
        <rFont val="맑은 고딕"/>
        <family val="0"/>
        <charset val="1"/>
      </rPr>
      <t xml:space="preserve">(TR)</t>
    </r>
  </si>
  <si>
    <r>
      <rPr>
        <b val="true"/>
        <sz val="9"/>
        <color rgb="FF000000"/>
        <rFont val="WenQuanYi Zen Hei"/>
        <family val="2"/>
      </rPr>
      <t xml:space="preserve">대안 </t>
    </r>
    <r>
      <rPr>
        <b val="true"/>
        <sz val="9"/>
        <color rgb="FF000000"/>
        <rFont val="맑은 고딕"/>
        <family val="0"/>
        <charset val="1"/>
      </rPr>
      <t xml:space="preserve">(Relay)</t>
    </r>
  </si>
  <si>
    <t xml:space="preserve">TM3DQ16R</t>
  </si>
  <si>
    <r>
      <rPr>
        <sz val="8"/>
        <color rgb="FF000000"/>
        <rFont val="맑은 고딕"/>
        <family val="0"/>
        <charset val="1"/>
      </rPr>
      <t xml:space="preserve">Relay </t>
    </r>
    <r>
      <rPr>
        <sz val="8"/>
        <color rgb="FF000000"/>
        <rFont val="WenQuanYi Zen Hei"/>
        <family val="2"/>
      </rPr>
      <t xml:space="preserve">출력 </t>
    </r>
    <r>
      <rPr>
        <sz val="8"/>
        <color rgb="FF000000"/>
        <rFont val="맑은 고딕"/>
        <family val="0"/>
        <charset val="1"/>
      </rPr>
      <t xml:space="preserve">16</t>
    </r>
    <r>
      <rPr>
        <sz val="8"/>
        <color rgb="FF000000"/>
        <rFont val="WenQuanYi Zen Hei"/>
        <family val="2"/>
      </rPr>
      <t xml:space="preserve">점</t>
    </r>
  </si>
  <si>
    <t xml:space="preserve">TM3DQ8R</t>
  </si>
  <si>
    <r>
      <rPr>
        <sz val="8"/>
        <color rgb="FF000000"/>
        <rFont val="맑은 고딕"/>
        <family val="0"/>
        <charset val="1"/>
      </rPr>
      <t xml:space="preserve">Relay </t>
    </r>
    <r>
      <rPr>
        <sz val="8"/>
        <color rgb="FF000000"/>
        <rFont val="WenQuanYi Zen Hei"/>
        <family val="2"/>
      </rPr>
      <t xml:space="preserve">출력 </t>
    </r>
    <r>
      <rPr>
        <sz val="8"/>
        <color rgb="FF000000"/>
        <rFont val="맑은 고딕"/>
        <family val="0"/>
        <charset val="1"/>
      </rPr>
      <t xml:space="preserve">8</t>
    </r>
    <r>
      <rPr>
        <sz val="8"/>
        <color rgb="FF000000"/>
        <rFont val="WenQuanYi Zen Hei"/>
        <family val="2"/>
      </rPr>
      <t xml:space="preserve">점</t>
    </r>
  </si>
  <si>
    <r>
      <rPr>
        <b val="true"/>
        <sz val="9"/>
        <color rgb="FF000000"/>
        <rFont val="맑은 고딕"/>
        <family val="0"/>
        <charset val="1"/>
      </rPr>
      <t xml:space="preserve">Relay </t>
    </r>
    <r>
      <rPr>
        <b val="true"/>
        <sz val="9"/>
        <color rgb="FF000000"/>
        <rFont val="WenQuanYi Zen Hei"/>
        <family val="2"/>
      </rPr>
      <t xml:space="preserve">대안 적용 시 </t>
    </r>
    <r>
      <rPr>
        <b val="true"/>
        <sz val="9"/>
        <color rgb="FF000000"/>
        <rFont val="맑은 고딕"/>
        <family val="0"/>
        <charset val="1"/>
      </rPr>
      <t xml:space="preserve">MCC 1</t>
    </r>
    <r>
      <rPr>
        <b val="true"/>
        <sz val="9"/>
        <color rgb="FF000000"/>
        <rFont val="WenQuanYi Zen Hei"/>
        <family val="2"/>
      </rPr>
      <t xml:space="preserve">대 매입가 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차액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</si>
  <si>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r>
      <rPr>
        <sz val="8"/>
        <color rgb="FF595959"/>
        <rFont val="WenQuanYi Zen Hei"/>
        <family val="2"/>
      </rPr>
      <t xml:space="preserve">노란색 </t>
    </r>
    <r>
      <rPr>
        <sz val="8"/>
        <color rgb="FF595959"/>
        <rFont val="맑은 고딕"/>
        <family val="0"/>
        <charset val="1"/>
      </rPr>
      <t xml:space="preserve">= </t>
    </r>
    <r>
      <rPr>
        <sz val="8"/>
        <color rgb="FF595959"/>
        <rFont val="WenQuanYi Zen Hei"/>
        <family val="2"/>
      </rPr>
      <t xml:space="preserve">확인 요청 품목  </t>
    </r>
    <r>
      <rPr>
        <sz val="8"/>
        <color rgb="FF595959"/>
        <rFont val="맑은 고딕"/>
        <family val="0"/>
        <charset val="1"/>
      </rPr>
      <t xml:space="preserve">·  </t>
    </r>
    <r>
      <rPr>
        <sz val="8"/>
        <color rgb="FF595959"/>
        <rFont val="WenQuanYi Zen Hei"/>
        <family val="2"/>
      </rPr>
      <t xml:space="preserve">파란 글씨 </t>
    </r>
    <r>
      <rPr>
        <sz val="8"/>
        <color rgb="FF595959"/>
        <rFont val="맑은 고딕"/>
        <family val="0"/>
        <charset val="1"/>
      </rPr>
      <t xml:space="preserve">= </t>
    </r>
    <r>
      <rPr>
        <sz val="8"/>
        <color rgb="FF595959"/>
        <rFont val="WenQuanYi Zen Hei"/>
        <family val="2"/>
      </rPr>
      <t xml:space="preserve">견적 기준 입력값  </t>
    </r>
    <r>
      <rPr>
        <sz val="8"/>
        <color rgb="FF595959"/>
        <rFont val="맑은 고딕"/>
        <family val="0"/>
        <charset val="1"/>
      </rPr>
      <t xml:space="preserve">·  </t>
    </r>
    <r>
      <rPr>
        <sz val="8"/>
        <color rgb="FF595959"/>
        <rFont val="WenQuanYi Zen Hei"/>
        <family val="2"/>
      </rPr>
      <t xml:space="preserve">연한 노란 칸 </t>
    </r>
    <r>
      <rPr>
        <sz val="8"/>
        <color rgb="FF595959"/>
        <rFont val="맑은 고딕"/>
        <family val="0"/>
        <charset val="1"/>
      </rPr>
      <t xml:space="preserve">= </t>
    </r>
    <r>
      <rPr>
        <sz val="8"/>
        <color rgb="FF595959"/>
        <rFont val="WenQuanYi Zen Hei"/>
        <family val="2"/>
      </rPr>
      <t xml:space="preserve">회신 기재란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</si>
</sst>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\-"/>
    <numFmt numFmtId="166" formatCode="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맑은 고딕"/>
      <family val="0"/>
      <charset val="1"/>
    </font>
    <font>
      <b val="true"/>
      <sz val="18"/>
      <color rgb="FF1F3864"/>
      <name val="WenQuanYi Zen Hei"/>
      <family val="2"/>
    </font>
    <font>
      <sz val="9"/>
      <color rgb="FF595959"/>
      <name val="맑은 고딕"/>
      <family val="0"/>
      <charset val="1"/>
    </font>
    <font>
      <sz val="9"/>
      <color rgb="FF595959"/>
      <name val="WenQuanYi Zen Hei"/>
      <family val="2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9"/>
      <color rgb="FF0000FF"/>
      <name val="맑은 고딕"/>
      <family val="0"/>
      <charset val="1"/>
    </font>
    <font>
      <sz val="9"/>
      <color rgb="FF0000FF"/>
      <name val="WenQuanYi Zen Hei"/>
      <family val="2"/>
    </font>
    <font>
      <b val="true"/>
      <sz val="11"/>
      <color rgb="FF1F3864"/>
      <name val="WenQuanYi Zen Hei"/>
      <family val="2"/>
    </font>
    <font>
      <sz val="9"/>
      <color rgb="FF000000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9"/>
      <color rgb="FFFFFFFF"/>
      <name val="WenQuanYi Zen Hei"/>
      <family val="2"/>
    </font>
    <font>
      <b val="true"/>
      <sz val="9"/>
      <color rgb="FFFFFFFF"/>
      <name val="맑은 고딕"/>
      <family val="0"/>
      <charset val="1"/>
    </font>
    <font>
      <sz val="9"/>
      <color rgb="FF7F7F7F"/>
      <name val="맑은 고딕"/>
      <family val="0"/>
      <charset val="1"/>
    </font>
    <font>
      <sz val="9"/>
      <color rgb="FF7F7F7F"/>
      <name val="WenQuanYi Zen Hei"/>
      <family val="2"/>
    </font>
    <font>
      <b val="true"/>
      <sz val="9"/>
      <color rgb="FFC00000"/>
      <name val="WenQuanYi Zen Hei"/>
      <family val="2"/>
    </font>
    <font>
      <b val="true"/>
      <sz val="9"/>
      <color rgb="FFC00000"/>
      <name val="맑은 고딕"/>
      <family val="0"/>
      <charset val="1"/>
    </font>
    <font>
      <sz val="8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1F3864"/>
      <name val="맑은 고딕"/>
      <family val="0"/>
      <charset val="1"/>
    </font>
    <font>
      <sz val="10"/>
      <color rgb="FF000000"/>
      <name val="맑은 고딕"/>
      <family val="0"/>
      <charset val="1"/>
    </font>
    <font>
      <sz val="8"/>
      <color rgb="FF000000"/>
      <name val="WenQuanYi Zen Hei"/>
      <family val="2"/>
    </font>
    <font>
      <b val="true"/>
      <sz val="10"/>
      <color rgb="FF000000"/>
      <name val="WenQuanYi Zen Hei"/>
      <family val="2"/>
    </font>
    <font>
      <sz val="8"/>
      <color rgb="FF595959"/>
      <name val="WenQuanYi Zen Hei"/>
      <family val="2"/>
    </font>
    <font>
      <sz val="8"/>
      <color rgb="FF595959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DF2F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EDF2F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E6"/>
      <rgbColor rgb="FFEDF2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</row>
    <row r="5" customFormat="false" ht="15" hidden="false" customHeight="true" outlineLevel="0" collapsed="false">
      <c r="A5" s="3" t="s">
        <v>4</v>
      </c>
      <c r="B5" s="3"/>
      <c r="C5" s="5" t="s">
        <v>5</v>
      </c>
      <c r="D5" s="5"/>
      <c r="E5" s="5"/>
      <c r="F5" s="5"/>
      <c r="G5" s="5"/>
      <c r="H5" s="5"/>
      <c r="I5" s="5"/>
      <c r="J5" s="5"/>
      <c r="K5" s="5"/>
    </row>
    <row r="6" customFormat="false" ht="15" hidden="false" customHeight="true" outlineLevel="0" collapsed="false">
      <c r="A6" s="3" t="s">
        <v>6</v>
      </c>
      <c r="B6" s="3"/>
      <c r="C6" s="5" t="s">
        <v>7</v>
      </c>
      <c r="D6" s="5"/>
      <c r="E6" s="5"/>
      <c r="F6" s="5"/>
      <c r="G6" s="5"/>
      <c r="H6" s="5"/>
      <c r="I6" s="5"/>
      <c r="J6" s="5"/>
      <c r="K6" s="5"/>
    </row>
    <row r="8" customFormat="false" ht="15" hidden="false" customHeight="true" outlineLevel="0" collapsed="false">
      <c r="A8" s="6" t="s">
        <v>8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customFormat="false" ht="18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8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18" hidden="false" customHeight="true" outlineLevel="0" collapsed="false">
      <c r="A12" s="9" t="s">
        <v>12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8" hidden="false" customHeight="true" outlineLevel="0" collapsed="false">
      <c r="A13" s="9" t="s">
        <v>13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8" hidden="false" customHeight="true" outlineLevel="0" collapsed="false">
      <c r="A14" s="7" t="s">
        <v>14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6" customFormat="false" ht="15" hidden="false" customHeight="true" outlineLevel="0" collapsed="false">
      <c r="A16" s="10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21.75" hidden="false" customHeight="true" outlineLevel="0" collapsed="false">
      <c r="A17" s="11" t="s">
        <v>16</v>
      </c>
      <c r="B17" s="11"/>
      <c r="C17" s="12" t="s">
        <v>17</v>
      </c>
      <c r="D17" s="12"/>
      <c r="E17" s="11" t="s">
        <v>18</v>
      </c>
      <c r="F17" s="11"/>
      <c r="G17" s="11"/>
      <c r="H17" s="11"/>
      <c r="I17" s="11" t="s">
        <v>19</v>
      </c>
      <c r="J17" s="11"/>
      <c r="K17" s="11"/>
    </row>
    <row r="18" customFormat="false" ht="31.5" hidden="false" customHeight="true" outlineLevel="0" collapsed="false">
      <c r="A18" s="13" t="s">
        <v>20</v>
      </c>
      <c r="B18" s="13"/>
      <c r="C18" s="14" t="s">
        <v>21</v>
      </c>
      <c r="D18" s="14"/>
      <c r="E18" s="15" t="s">
        <v>22</v>
      </c>
      <c r="F18" s="15"/>
      <c r="G18" s="15"/>
      <c r="H18" s="15"/>
      <c r="I18" s="4" t="s">
        <v>23</v>
      </c>
      <c r="J18" s="4"/>
      <c r="K18" s="4"/>
    </row>
    <row r="19" customFormat="false" ht="31.5" hidden="false" customHeight="true" outlineLevel="0" collapsed="false">
      <c r="A19" s="16" t="s">
        <v>24</v>
      </c>
      <c r="B19" s="16"/>
      <c r="C19" s="17" t="s">
        <v>25</v>
      </c>
      <c r="D19" s="17"/>
      <c r="E19" s="18" t="s">
        <v>26</v>
      </c>
      <c r="F19" s="18"/>
      <c r="G19" s="18"/>
      <c r="H19" s="18"/>
      <c r="I19" s="19" t="s">
        <v>27</v>
      </c>
      <c r="J19" s="19"/>
      <c r="K19" s="19"/>
    </row>
    <row r="20" customFormat="false" ht="31.5" hidden="false" customHeight="true" outlineLevel="0" collapsed="false">
      <c r="A20" s="13" t="s">
        <v>28</v>
      </c>
      <c r="B20" s="13"/>
      <c r="C20" s="14" t="s">
        <v>29</v>
      </c>
      <c r="D20" s="14"/>
      <c r="E20" s="15" t="s">
        <v>30</v>
      </c>
      <c r="F20" s="15"/>
      <c r="G20" s="15"/>
      <c r="H20" s="15"/>
      <c r="I20" s="4" t="s">
        <v>31</v>
      </c>
      <c r="J20" s="4"/>
      <c r="K20" s="4"/>
    </row>
    <row r="21" customFormat="false" ht="31.5" hidden="false" customHeight="true" outlineLevel="0" collapsed="false">
      <c r="A21" s="16" t="s">
        <v>32</v>
      </c>
      <c r="B21" s="16"/>
      <c r="C21" s="20" t="s">
        <v>33</v>
      </c>
      <c r="D21" s="20"/>
      <c r="E21" s="18" t="s">
        <v>34</v>
      </c>
      <c r="F21" s="18"/>
      <c r="G21" s="18"/>
      <c r="H21" s="18"/>
      <c r="I21" s="21" t="s">
        <v>35</v>
      </c>
      <c r="J21" s="21"/>
      <c r="K21" s="21"/>
    </row>
    <row r="23" customFormat="false" ht="15" hidden="false" customHeight="true" outlineLevel="0" collapsed="false">
      <c r="A23" s="10" t="s">
        <v>36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customFormat="false" ht="30" hidden="false" customHeight="true" outlineLevel="0" collapsed="false">
      <c r="A24" s="11" t="s">
        <v>37</v>
      </c>
      <c r="B24" s="11" t="s">
        <v>38</v>
      </c>
      <c r="C24" s="11" t="s">
        <v>39</v>
      </c>
      <c r="D24" s="11" t="s">
        <v>40</v>
      </c>
      <c r="E24" s="11" t="s">
        <v>41</v>
      </c>
      <c r="F24" s="11" t="s">
        <v>42</v>
      </c>
      <c r="G24" s="11" t="s">
        <v>43</v>
      </c>
      <c r="H24" s="11" t="s">
        <v>44</v>
      </c>
      <c r="I24" s="11" t="s">
        <v>45</v>
      </c>
      <c r="J24" s="11" t="s">
        <v>46</v>
      </c>
      <c r="K24" s="11" t="s">
        <v>47</v>
      </c>
    </row>
    <row r="25" customFormat="false" ht="18.75" hidden="false" customHeight="true" outlineLevel="0" collapsed="false">
      <c r="A25" s="22" t="s">
        <v>48</v>
      </c>
      <c r="B25" s="23" t="s">
        <v>49</v>
      </c>
      <c r="C25" s="15" t="s">
        <v>50</v>
      </c>
      <c r="D25" s="24" t="s">
        <v>51</v>
      </c>
      <c r="E25" s="25" t="n">
        <v>1</v>
      </c>
      <c r="F25" s="26" t="n">
        <v>873000</v>
      </c>
      <c r="G25" s="27" t="n">
        <v>0.4</v>
      </c>
      <c r="H25" s="28" t="n">
        <f aca="false">ROUND(F25*G25,0)</f>
        <v>349200</v>
      </c>
      <c r="I25" s="28" t="n">
        <f aca="false">E25*H25</f>
        <v>349200</v>
      </c>
      <c r="J25" s="29"/>
      <c r="K25" s="30"/>
    </row>
    <row r="26" customFormat="false" ht="19.5" hidden="false" customHeight="true" outlineLevel="0" collapsed="false">
      <c r="A26" s="31" t="s">
        <v>52</v>
      </c>
      <c r="B26" s="31"/>
      <c r="C26" s="31"/>
      <c r="D26" s="31"/>
      <c r="E26" s="31"/>
      <c r="F26" s="31"/>
      <c r="G26" s="31"/>
      <c r="H26" s="31"/>
      <c r="I26" s="32" t="n">
        <f aca="false">SUM(I25:I25)</f>
        <v>349200</v>
      </c>
      <c r="J26" s="33"/>
      <c r="K26" s="33"/>
    </row>
    <row r="28" customFormat="false" ht="18.75" hidden="false" customHeight="true" outlineLevel="0" collapsed="false">
      <c r="A28" s="22" t="s">
        <v>48</v>
      </c>
      <c r="B28" s="23" t="s">
        <v>53</v>
      </c>
      <c r="C28" s="15" t="s">
        <v>54</v>
      </c>
      <c r="D28" s="24" t="s">
        <v>55</v>
      </c>
      <c r="E28" s="25" t="n">
        <v>1</v>
      </c>
      <c r="F28" s="26" t="n">
        <v>855000</v>
      </c>
      <c r="G28" s="27" t="n">
        <v>0.4</v>
      </c>
      <c r="H28" s="28" t="n">
        <f aca="false">ROUND(F28*G28,0)</f>
        <v>342000</v>
      </c>
      <c r="I28" s="28" t="n">
        <f aca="false">E28*H28</f>
        <v>342000</v>
      </c>
      <c r="J28" s="29"/>
      <c r="K28" s="30"/>
    </row>
    <row r="29" customFormat="false" ht="19.5" hidden="false" customHeight="true" outlineLevel="0" collapsed="false">
      <c r="A29" s="31" t="s">
        <v>56</v>
      </c>
      <c r="B29" s="31"/>
      <c r="C29" s="31"/>
      <c r="D29" s="31"/>
      <c r="E29" s="31"/>
      <c r="F29" s="31"/>
      <c r="G29" s="31"/>
      <c r="H29" s="31"/>
      <c r="I29" s="32" t="n">
        <f aca="false">SUM(I28:I28)</f>
        <v>342000</v>
      </c>
      <c r="J29" s="33"/>
      <c r="K29" s="33"/>
    </row>
    <row r="31" customFormat="false" ht="18.75" hidden="false" customHeight="true" outlineLevel="0" collapsed="false">
      <c r="A31" s="22" t="s">
        <v>57</v>
      </c>
      <c r="B31" s="23" t="s">
        <v>49</v>
      </c>
      <c r="C31" s="15" t="s">
        <v>58</v>
      </c>
      <c r="D31" s="24" t="s">
        <v>59</v>
      </c>
      <c r="E31" s="25" t="n">
        <v>1</v>
      </c>
      <c r="F31" s="26" t="n">
        <v>928000</v>
      </c>
      <c r="G31" s="27" t="n">
        <v>0.4</v>
      </c>
      <c r="H31" s="28" t="n">
        <f aca="false">ROUND(F31*G31,0)</f>
        <v>371200</v>
      </c>
      <c r="I31" s="28" t="n">
        <f aca="false">E31*H31</f>
        <v>371200</v>
      </c>
      <c r="J31" s="29"/>
      <c r="K31" s="30"/>
    </row>
    <row r="32" customFormat="false" ht="19.5" hidden="false" customHeight="true" outlineLevel="0" collapsed="false">
      <c r="A32" s="31" t="s">
        <v>60</v>
      </c>
      <c r="B32" s="31"/>
      <c r="C32" s="31"/>
      <c r="D32" s="31"/>
      <c r="E32" s="31"/>
      <c r="F32" s="31"/>
      <c r="G32" s="31"/>
      <c r="H32" s="31"/>
      <c r="I32" s="32" t="n">
        <f aca="false">SUM(I31:I31)</f>
        <v>371200</v>
      </c>
      <c r="J32" s="33"/>
      <c r="K32" s="33"/>
    </row>
    <row r="34" customFormat="false" ht="18.75" hidden="false" customHeight="true" outlineLevel="0" collapsed="false">
      <c r="A34" s="22" t="s">
        <v>57</v>
      </c>
      <c r="B34" s="23" t="s">
        <v>53</v>
      </c>
      <c r="C34" s="15" t="s">
        <v>61</v>
      </c>
      <c r="D34" s="24" t="s">
        <v>62</v>
      </c>
      <c r="E34" s="25" t="n">
        <v>1</v>
      </c>
      <c r="F34" s="26" t="n">
        <v>903000</v>
      </c>
      <c r="G34" s="27" t="n">
        <v>0.4</v>
      </c>
      <c r="H34" s="28" t="n">
        <f aca="false">ROUND(F34*G34,0)</f>
        <v>361200</v>
      </c>
      <c r="I34" s="28" t="n">
        <f aca="false">E34*H34</f>
        <v>361200</v>
      </c>
      <c r="J34" s="29"/>
      <c r="K34" s="30"/>
    </row>
    <row r="35" customFormat="false" ht="19.5" hidden="false" customHeight="true" outlineLevel="0" collapsed="false">
      <c r="A35" s="31" t="s">
        <v>63</v>
      </c>
      <c r="B35" s="31"/>
      <c r="C35" s="31"/>
      <c r="D35" s="31"/>
      <c r="E35" s="31"/>
      <c r="F35" s="31"/>
      <c r="G35" s="31"/>
      <c r="H35" s="31"/>
      <c r="I35" s="32" t="n">
        <f aca="false">SUM(I34:I34)</f>
        <v>361200</v>
      </c>
      <c r="J35" s="33"/>
      <c r="K35" s="33"/>
    </row>
    <row r="37" customFormat="false" ht="18.75" hidden="false" customHeight="true" outlineLevel="0" collapsed="false">
      <c r="A37" s="22" t="s">
        <v>64</v>
      </c>
      <c r="B37" s="23" t="s">
        <v>49</v>
      </c>
      <c r="C37" s="15" t="s">
        <v>50</v>
      </c>
      <c r="D37" s="24" t="s">
        <v>51</v>
      </c>
      <c r="E37" s="25" t="n">
        <v>1</v>
      </c>
      <c r="F37" s="26" t="n">
        <v>873000</v>
      </c>
      <c r="G37" s="27" t="n">
        <v>0.4</v>
      </c>
      <c r="H37" s="28" t="n">
        <f aca="false">ROUND(F37*G37,0)</f>
        <v>349200</v>
      </c>
      <c r="I37" s="28" t="n">
        <f aca="false">E37*H37</f>
        <v>349200</v>
      </c>
      <c r="J37" s="29"/>
      <c r="K37" s="30"/>
    </row>
    <row r="38" customFormat="false" ht="18.75" hidden="false" customHeight="true" outlineLevel="0" collapsed="false">
      <c r="A38" s="22" t="s">
        <v>64</v>
      </c>
      <c r="B38" s="23" t="s">
        <v>49</v>
      </c>
      <c r="C38" s="15" t="s">
        <v>65</v>
      </c>
      <c r="D38" s="34" t="s">
        <v>66</v>
      </c>
      <c r="E38" s="25" t="n">
        <v>1</v>
      </c>
      <c r="F38" s="26" t="n">
        <v>346000</v>
      </c>
      <c r="G38" s="27" t="n">
        <v>0.35</v>
      </c>
      <c r="H38" s="28" t="n">
        <f aca="false">ROUND(F38*G38,0)</f>
        <v>121100</v>
      </c>
      <c r="I38" s="28" t="n">
        <f aca="false">E38*H38</f>
        <v>121100</v>
      </c>
      <c r="J38" s="29"/>
      <c r="K38" s="30"/>
    </row>
    <row r="39" customFormat="false" ht="19.5" hidden="false" customHeight="true" outlineLevel="0" collapsed="false">
      <c r="A39" s="31" t="s">
        <v>67</v>
      </c>
      <c r="B39" s="31"/>
      <c r="C39" s="31"/>
      <c r="D39" s="31"/>
      <c r="E39" s="31"/>
      <c r="F39" s="31"/>
      <c r="G39" s="31"/>
      <c r="H39" s="31"/>
      <c r="I39" s="32" t="n">
        <f aca="false">SUM(I37:I38)</f>
        <v>470300</v>
      </c>
      <c r="J39" s="33"/>
      <c r="K39" s="33"/>
    </row>
    <row r="41" customFormat="false" ht="18.75" hidden="false" customHeight="true" outlineLevel="0" collapsed="false">
      <c r="A41" s="22" t="s">
        <v>64</v>
      </c>
      <c r="B41" s="23" t="s">
        <v>53</v>
      </c>
      <c r="C41" s="15" t="s">
        <v>54</v>
      </c>
      <c r="D41" s="24" t="s">
        <v>55</v>
      </c>
      <c r="E41" s="25" t="n">
        <v>1</v>
      </c>
      <c r="F41" s="26" t="n">
        <v>855000</v>
      </c>
      <c r="G41" s="27" t="n">
        <v>0.4</v>
      </c>
      <c r="H41" s="28" t="n">
        <f aca="false">ROUND(F41*G41,0)</f>
        <v>342000</v>
      </c>
      <c r="I41" s="28" t="n">
        <f aca="false">E41*H41</f>
        <v>342000</v>
      </c>
      <c r="J41" s="29"/>
      <c r="K41" s="30"/>
    </row>
    <row r="42" customFormat="false" ht="18.75" hidden="false" customHeight="true" outlineLevel="0" collapsed="false">
      <c r="A42" s="22" t="s">
        <v>64</v>
      </c>
      <c r="B42" s="23" t="s">
        <v>53</v>
      </c>
      <c r="C42" s="15" t="s">
        <v>65</v>
      </c>
      <c r="D42" s="34" t="s">
        <v>66</v>
      </c>
      <c r="E42" s="25" t="n">
        <v>1</v>
      </c>
      <c r="F42" s="26" t="n">
        <v>346000</v>
      </c>
      <c r="G42" s="27" t="n">
        <v>0.35</v>
      </c>
      <c r="H42" s="28" t="n">
        <f aca="false">ROUND(F42*G42,0)</f>
        <v>121100</v>
      </c>
      <c r="I42" s="28" t="n">
        <f aca="false">E42*H42</f>
        <v>121100</v>
      </c>
      <c r="J42" s="29"/>
      <c r="K42" s="30"/>
    </row>
    <row r="43" customFormat="false" ht="19.5" hidden="false" customHeight="true" outlineLevel="0" collapsed="false">
      <c r="A43" s="31" t="s">
        <v>68</v>
      </c>
      <c r="B43" s="31"/>
      <c r="C43" s="31"/>
      <c r="D43" s="31"/>
      <c r="E43" s="31"/>
      <c r="F43" s="31"/>
      <c r="G43" s="31"/>
      <c r="H43" s="31"/>
      <c r="I43" s="32" t="n">
        <f aca="false">SUM(I41:I42)</f>
        <v>463100</v>
      </c>
      <c r="J43" s="33"/>
      <c r="K43" s="33"/>
    </row>
    <row r="45" customFormat="false" ht="18.75" hidden="false" customHeight="true" outlineLevel="0" collapsed="false">
      <c r="A45" s="22" t="s">
        <v>69</v>
      </c>
      <c r="B45" s="23" t="s">
        <v>49</v>
      </c>
      <c r="C45" s="15" t="s">
        <v>70</v>
      </c>
      <c r="D45" s="24" t="s">
        <v>71</v>
      </c>
      <c r="E45" s="25" t="n">
        <v>1</v>
      </c>
      <c r="F45" s="26" t="n">
        <v>920000</v>
      </c>
      <c r="G45" s="27" t="n">
        <v>0.4</v>
      </c>
      <c r="H45" s="28" t="n">
        <f aca="false">ROUND(F45*G45,0)</f>
        <v>368000</v>
      </c>
      <c r="I45" s="28" t="n">
        <f aca="false">E45*H45</f>
        <v>368000</v>
      </c>
      <c r="J45" s="29"/>
      <c r="K45" s="30"/>
    </row>
    <row r="46" customFormat="false" ht="18.75" hidden="false" customHeight="true" outlineLevel="0" collapsed="false">
      <c r="A46" s="22" t="s">
        <v>69</v>
      </c>
      <c r="B46" s="23" t="s">
        <v>49</v>
      </c>
      <c r="C46" s="15" t="s">
        <v>72</v>
      </c>
      <c r="D46" s="34" t="s">
        <v>73</v>
      </c>
      <c r="E46" s="25" t="n">
        <v>5</v>
      </c>
      <c r="F46" s="26" t="n">
        <v>228000</v>
      </c>
      <c r="G46" s="27" t="n">
        <v>0.35</v>
      </c>
      <c r="H46" s="28" t="n">
        <f aca="false">ROUND(F46*G46,0)</f>
        <v>79800</v>
      </c>
      <c r="I46" s="28" t="n">
        <f aca="false">E46*H46</f>
        <v>399000</v>
      </c>
      <c r="J46" s="29"/>
      <c r="K46" s="30"/>
    </row>
    <row r="47" customFormat="false" ht="18.75" hidden="false" customHeight="true" outlineLevel="0" collapsed="false">
      <c r="A47" s="35" t="s">
        <v>69</v>
      </c>
      <c r="B47" s="36" t="s">
        <v>49</v>
      </c>
      <c r="C47" s="18" t="s">
        <v>74</v>
      </c>
      <c r="D47" s="37" t="s">
        <v>75</v>
      </c>
      <c r="E47" s="38" t="n">
        <v>2</v>
      </c>
      <c r="F47" s="39" t="n">
        <v>227000</v>
      </c>
      <c r="G47" s="40" t="n">
        <v>0.35</v>
      </c>
      <c r="H47" s="41" t="n">
        <f aca="false">ROUND(F47*G47,0)</f>
        <v>79450</v>
      </c>
      <c r="I47" s="41" t="n">
        <f aca="false">E47*H47</f>
        <v>158900</v>
      </c>
      <c r="J47" s="29"/>
      <c r="K47" s="30"/>
    </row>
    <row r="48" customFormat="false" ht="18.75" hidden="false" customHeight="true" outlineLevel="0" collapsed="false">
      <c r="A48" s="35" t="s">
        <v>69</v>
      </c>
      <c r="B48" s="36" t="s">
        <v>49</v>
      </c>
      <c r="C48" s="18" t="s">
        <v>76</v>
      </c>
      <c r="D48" s="37" t="s">
        <v>77</v>
      </c>
      <c r="E48" s="38" t="n">
        <v>1</v>
      </c>
      <c r="F48" s="39" t="n">
        <v>168000</v>
      </c>
      <c r="G48" s="40" t="n">
        <v>0.35</v>
      </c>
      <c r="H48" s="41" t="n">
        <f aca="false">ROUND(F48*G48,0)</f>
        <v>58800</v>
      </c>
      <c r="I48" s="41" t="n">
        <f aca="false">E48*H48</f>
        <v>58800</v>
      </c>
      <c r="J48" s="29"/>
      <c r="K48" s="30"/>
    </row>
    <row r="49" customFormat="false" ht="18.75" hidden="false" customHeight="true" outlineLevel="0" collapsed="false">
      <c r="A49" s="22" t="s">
        <v>69</v>
      </c>
      <c r="B49" s="23" t="s">
        <v>49</v>
      </c>
      <c r="C49" s="15" t="s">
        <v>78</v>
      </c>
      <c r="D49" s="34" t="s">
        <v>79</v>
      </c>
      <c r="E49" s="25" t="n">
        <v>1</v>
      </c>
      <c r="F49" s="26" t="n">
        <v>351000</v>
      </c>
      <c r="G49" s="27" t="n">
        <v>0.35</v>
      </c>
      <c r="H49" s="28" t="n">
        <f aca="false">ROUND(F49*G49,0)</f>
        <v>122850</v>
      </c>
      <c r="I49" s="28" t="n">
        <f aca="false">E49*H49</f>
        <v>122850</v>
      </c>
      <c r="J49" s="29"/>
      <c r="K49" s="30"/>
    </row>
    <row r="50" customFormat="false" ht="18.75" hidden="false" customHeight="true" outlineLevel="0" collapsed="false">
      <c r="A50" s="35" t="s">
        <v>69</v>
      </c>
      <c r="B50" s="36" t="s">
        <v>49</v>
      </c>
      <c r="C50" s="18" t="s">
        <v>80</v>
      </c>
      <c r="D50" s="37" t="s">
        <v>81</v>
      </c>
      <c r="E50" s="38" t="n">
        <v>1</v>
      </c>
      <c r="F50" s="39" t="n">
        <v>156000</v>
      </c>
      <c r="G50" s="40" t="n">
        <v>0.35</v>
      </c>
      <c r="H50" s="41" t="n">
        <f aca="false">ROUND(F50*G50,0)</f>
        <v>54600</v>
      </c>
      <c r="I50" s="41" t="n">
        <f aca="false">E50*H50</f>
        <v>54600</v>
      </c>
      <c r="J50" s="29"/>
      <c r="K50" s="30"/>
    </row>
    <row r="51" customFormat="false" ht="18.75" hidden="false" customHeight="true" outlineLevel="0" collapsed="false">
      <c r="A51" s="35" t="s">
        <v>69</v>
      </c>
      <c r="B51" s="36" t="s">
        <v>49</v>
      </c>
      <c r="C51" s="18" t="s">
        <v>82</v>
      </c>
      <c r="D51" s="37" t="s">
        <v>83</v>
      </c>
      <c r="E51" s="38" t="n">
        <v>1</v>
      </c>
      <c r="F51" s="39" t="n">
        <v>185000</v>
      </c>
      <c r="G51" s="40" t="n">
        <v>0.35</v>
      </c>
      <c r="H51" s="41" t="n">
        <f aca="false">ROUND(F51*G51,0)</f>
        <v>64750</v>
      </c>
      <c r="I51" s="41" t="n">
        <f aca="false">E51*H51</f>
        <v>64750</v>
      </c>
      <c r="J51" s="29"/>
      <c r="K51" s="30"/>
    </row>
    <row r="52" customFormat="false" ht="19.5" hidden="false" customHeight="true" outlineLevel="0" collapsed="false">
      <c r="A52" s="31" t="s">
        <v>84</v>
      </c>
      <c r="B52" s="31"/>
      <c r="C52" s="31"/>
      <c r="D52" s="31"/>
      <c r="E52" s="31"/>
      <c r="F52" s="31"/>
      <c r="G52" s="31"/>
      <c r="H52" s="31"/>
      <c r="I52" s="32" t="n">
        <f aca="false">SUM(I45:I51)</f>
        <v>1226900</v>
      </c>
      <c r="J52" s="33"/>
      <c r="K52" s="33"/>
    </row>
    <row r="54" customFormat="false" ht="15" hidden="false" customHeight="true" outlineLevel="0" collapsed="false">
      <c r="A54" s="10" t="s">
        <v>85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customFormat="false" ht="30" hidden="false" customHeight="true" outlineLevel="0" collapsed="false">
      <c r="A55" s="11" t="s">
        <v>37</v>
      </c>
      <c r="B55" s="11"/>
      <c r="C55" s="12" t="s">
        <v>86</v>
      </c>
      <c r="D55" s="12"/>
      <c r="E55" s="12" t="s">
        <v>87</v>
      </c>
      <c r="F55" s="12"/>
      <c r="G55" s="11" t="s">
        <v>88</v>
      </c>
      <c r="H55" s="11" t="s">
        <v>89</v>
      </c>
      <c r="I55" s="11"/>
      <c r="J55" s="11" t="s">
        <v>90</v>
      </c>
      <c r="K55" s="11"/>
    </row>
    <row r="56" customFormat="false" ht="18.75" hidden="false" customHeight="true" outlineLevel="0" collapsed="false">
      <c r="A56" s="22" t="s">
        <v>48</v>
      </c>
      <c r="B56" s="22"/>
      <c r="C56" s="28" t="n">
        <f aca="false">I26</f>
        <v>349200</v>
      </c>
      <c r="D56" s="28"/>
      <c r="E56" s="28" t="n">
        <f aca="false">I29</f>
        <v>342000</v>
      </c>
      <c r="F56" s="28"/>
      <c r="G56" s="42" t="n">
        <v>200</v>
      </c>
      <c r="H56" s="28" t="n">
        <f aca="false">C56*G56</f>
        <v>69840000</v>
      </c>
      <c r="I56" s="28"/>
      <c r="J56" s="28" t="n">
        <f aca="false">E56*G56</f>
        <v>68400000</v>
      </c>
      <c r="K56" s="28"/>
    </row>
    <row r="57" customFormat="false" ht="18.75" hidden="false" customHeight="true" outlineLevel="0" collapsed="false">
      <c r="A57" s="22" t="s">
        <v>57</v>
      </c>
      <c r="B57" s="22"/>
      <c r="C57" s="28" t="n">
        <f aca="false">I32</f>
        <v>371200</v>
      </c>
      <c r="D57" s="28"/>
      <c r="E57" s="28" t="n">
        <f aca="false">I35</f>
        <v>361200</v>
      </c>
      <c r="F57" s="28"/>
      <c r="G57" s="42" t="n">
        <v>300</v>
      </c>
      <c r="H57" s="28" t="n">
        <f aca="false">C57*G57</f>
        <v>111360000</v>
      </c>
      <c r="I57" s="28"/>
      <c r="J57" s="28" t="n">
        <f aca="false">E57*G57</f>
        <v>108360000</v>
      </c>
      <c r="K57" s="28"/>
    </row>
    <row r="58" customFormat="false" ht="18.75" hidden="false" customHeight="true" outlineLevel="0" collapsed="false">
      <c r="A58" s="22" t="s">
        <v>64</v>
      </c>
      <c r="B58" s="22"/>
      <c r="C58" s="28" t="n">
        <f aca="false">I39</f>
        <v>470300</v>
      </c>
      <c r="D58" s="28"/>
      <c r="E58" s="28" t="n">
        <f aca="false">I43</f>
        <v>463100</v>
      </c>
      <c r="F58" s="28"/>
      <c r="G58" s="42" t="n">
        <v>50</v>
      </c>
      <c r="H58" s="28" t="n">
        <f aca="false">C58*G58</f>
        <v>23515000</v>
      </c>
      <c r="I58" s="28"/>
      <c r="J58" s="28" t="n">
        <f aca="false">E58*G58</f>
        <v>23155000</v>
      </c>
      <c r="K58" s="28"/>
    </row>
    <row r="59" customFormat="false" ht="18.75" hidden="false" customHeight="true" outlineLevel="0" collapsed="false">
      <c r="A59" s="22" t="s">
        <v>69</v>
      </c>
      <c r="B59" s="22"/>
      <c r="C59" s="28" t="n">
        <f aca="false">I52</f>
        <v>1226900</v>
      </c>
      <c r="D59" s="28"/>
      <c r="E59" s="28" t="n">
        <f aca="false">I52</f>
        <v>1226900</v>
      </c>
      <c r="F59" s="28"/>
      <c r="G59" s="42" t="n">
        <v>100</v>
      </c>
      <c r="H59" s="28" t="n">
        <f aca="false">C59*G59</f>
        <v>122690000</v>
      </c>
      <c r="I59" s="28"/>
      <c r="J59" s="28" t="n">
        <f aca="false">E59*G59</f>
        <v>122690000</v>
      </c>
      <c r="K59" s="28"/>
    </row>
    <row r="60" customFormat="false" ht="15" hidden="false" customHeight="true" outlineLevel="0" collapsed="false">
      <c r="A60" s="43" t="s">
        <v>91</v>
      </c>
      <c r="B60" s="43"/>
      <c r="C60" s="43"/>
      <c r="D60" s="43"/>
      <c r="E60" s="43"/>
      <c r="F60" s="43"/>
      <c r="G60" s="44" t="n">
        <f aca="false">SUM(G56:G59)</f>
        <v>650</v>
      </c>
      <c r="H60" s="32" t="n">
        <f aca="false">SUM(H56:H59)</f>
        <v>327405000</v>
      </c>
      <c r="I60" s="32"/>
      <c r="J60" s="32" t="n">
        <f aca="false">SUM(J56:J59)</f>
        <v>322605000</v>
      </c>
      <c r="K60" s="32"/>
    </row>
    <row r="61" customFormat="false" ht="15" hidden="false" customHeight="true" outlineLevel="0" collapsed="false">
      <c r="A61" s="45" t="s">
        <v>92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</row>
    <row r="63" customFormat="false" ht="15" hidden="false" customHeight="true" outlineLevel="0" collapsed="false">
      <c r="A63" s="10" t="s">
        <v>93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customFormat="false" ht="30" hidden="false" customHeight="true" outlineLevel="0" collapsed="false">
      <c r="A64" s="11" t="s">
        <v>16</v>
      </c>
      <c r="B64" s="11"/>
      <c r="C64" s="11" t="s">
        <v>39</v>
      </c>
      <c r="D64" s="11" t="s">
        <v>40</v>
      </c>
      <c r="E64" s="11" t="s">
        <v>41</v>
      </c>
      <c r="F64" s="11" t="s">
        <v>42</v>
      </c>
      <c r="G64" s="11" t="s">
        <v>43</v>
      </c>
      <c r="H64" s="11" t="s">
        <v>44</v>
      </c>
      <c r="I64" s="11" t="s">
        <v>45</v>
      </c>
      <c r="J64" s="11" t="s">
        <v>46</v>
      </c>
      <c r="K64" s="11" t="s">
        <v>47</v>
      </c>
    </row>
    <row r="65" customFormat="false" ht="18.75" hidden="false" customHeight="true" outlineLevel="0" collapsed="false">
      <c r="A65" s="13" t="s">
        <v>94</v>
      </c>
      <c r="B65" s="13"/>
      <c r="C65" s="15" t="s">
        <v>74</v>
      </c>
      <c r="D65" s="24" t="s">
        <v>75</v>
      </c>
      <c r="E65" s="25" t="n">
        <v>2</v>
      </c>
      <c r="F65" s="26" t="n">
        <v>227000</v>
      </c>
      <c r="G65" s="27" t="n">
        <v>0.35</v>
      </c>
      <c r="H65" s="28" t="n">
        <f aca="false">ROUND(F65*G65,0)</f>
        <v>79450</v>
      </c>
      <c r="I65" s="28" t="n">
        <f aca="false">E65*H65</f>
        <v>158900</v>
      </c>
      <c r="J65" s="46"/>
      <c r="K65" s="46"/>
    </row>
    <row r="66" customFormat="false" ht="18.75" hidden="false" customHeight="true" outlineLevel="0" collapsed="false">
      <c r="A66" s="13" t="s">
        <v>94</v>
      </c>
      <c r="B66" s="13"/>
      <c r="C66" s="15" t="s">
        <v>76</v>
      </c>
      <c r="D66" s="24" t="s">
        <v>77</v>
      </c>
      <c r="E66" s="25" t="n">
        <v>1</v>
      </c>
      <c r="F66" s="26" t="n">
        <v>168000</v>
      </c>
      <c r="G66" s="27" t="n">
        <v>0.35</v>
      </c>
      <c r="H66" s="28" t="n">
        <f aca="false">ROUND(F66*G66,0)</f>
        <v>58800</v>
      </c>
      <c r="I66" s="28" t="n">
        <f aca="false">E66*H66</f>
        <v>58800</v>
      </c>
      <c r="J66" s="46"/>
      <c r="K66" s="46"/>
    </row>
    <row r="67" customFormat="false" ht="18.75" hidden="false" customHeight="true" outlineLevel="0" collapsed="false">
      <c r="A67" s="13" t="s">
        <v>95</v>
      </c>
      <c r="B67" s="13"/>
      <c r="C67" s="15" t="s">
        <v>96</v>
      </c>
      <c r="D67" s="24" t="s">
        <v>97</v>
      </c>
      <c r="E67" s="25" t="n">
        <v>2</v>
      </c>
      <c r="F67" s="26" t="n">
        <v>227000</v>
      </c>
      <c r="G67" s="27" t="n">
        <v>0.35</v>
      </c>
      <c r="H67" s="28" t="n">
        <f aca="false">ROUND(F67*G67,0)</f>
        <v>79450</v>
      </c>
      <c r="I67" s="28" t="n">
        <f aca="false">E67*H67</f>
        <v>158900</v>
      </c>
      <c r="J67" s="29"/>
      <c r="K67" s="30"/>
    </row>
    <row r="68" customFormat="false" ht="18.75" hidden="false" customHeight="true" outlineLevel="0" collapsed="false">
      <c r="A68" s="13" t="s">
        <v>95</v>
      </c>
      <c r="B68" s="13"/>
      <c r="C68" s="15" t="s">
        <v>98</v>
      </c>
      <c r="D68" s="24" t="s">
        <v>99</v>
      </c>
      <c r="E68" s="25" t="n">
        <v>1</v>
      </c>
      <c r="F68" s="26" t="n">
        <v>161000</v>
      </c>
      <c r="G68" s="27" t="n">
        <v>0.35</v>
      </c>
      <c r="H68" s="28" t="n">
        <f aca="false">ROUND(F68*G68,0)</f>
        <v>56350</v>
      </c>
      <c r="I68" s="28" t="n">
        <f aca="false">E68*H68</f>
        <v>56350</v>
      </c>
      <c r="J68" s="29"/>
      <c r="K68" s="30"/>
    </row>
    <row r="69" customFormat="false" ht="15" hidden="false" customHeight="false" outlineLevel="0" collapsed="false">
      <c r="A69" s="31" t="s">
        <v>100</v>
      </c>
      <c r="B69" s="31"/>
      <c r="C69" s="31"/>
      <c r="D69" s="31"/>
      <c r="E69" s="31"/>
      <c r="F69" s="31"/>
      <c r="G69" s="31"/>
      <c r="H69" s="31"/>
      <c r="I69" s="32" t="n">
        <f aca="false">I52-I65-I66+I67+I68</f>
        <v>1224450</v>
      </c>
      <c r="J69" s="47" t="str">
        <f aca="false">"현재 대비 "&amp;TEXT(I69-I52,"+#,##0;-#,##0;0")&amp;"원"</f>
        <v>현재 대비 -2,450원</v>
      </c>
      <c r="K69" s="47"/>
    </row>
    <row r="71" customFormat="false" ht="15" hidden="false" customHeight="true" outlineLevel="0" collapsed="false">
      <c r="A71" s="45" t="s">
        <v>101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</row>
  </sheetData>
  <mergeCells count="83">
    <mergeCell ref="A1:K1"/>
    <mergeCell ref="A2:K2"/>
    <mergeCell ref="A4:B4"/>
    <mergeCell ref="C4:K4"/>
    <mergeCell ref="A5:B5"/>
    <mergeCell ref="C5:K5"/>
    <mergeCell ref="A6:B6"/>
    <mergeCell ref="C6:K6"/>
    <mergeCell ref="A8:K8"/>
    <mergeCell ref="A9:K9"/>
    <mergeCell ref="A10:K10"/>
    <mergeCell ref="A11:K11"/>
    <mergeCell ref="A12:K12"/>
    <mergeCell ref="A13:K13"/>
    <mergeCell ref="A14:K14"/>
    <mergeCell ref="A16:K16"/>
    <mergeCell ref="A17:B17"/>
    <mergeCell ref="C17:D17"/>
    <mergeCell ref="E17:H17"/>
    <mergeCell ref="I17:K17"/>
    <mergeCell ref="A18:B18"/>
    <mergeCell ref="C18:D18"/>
    <mergeCell ref="E18:H18"/>
    <mergeCell ref="I18:K18"/>
    <mergeCell ref="A19:B19"/>
    <mergeCell ref="C19:D19"/>
    <mergeCell ref="E19:H19"/>
    <mergeCell ref="I19:K19"/>
    <mergeCell ref="A20:B20"/>
    <mergeCell ref="C20:D20"/>
    <mergeCell ref="E20:H20"/>
    <mergeCell ref="I20:K20"/>
    <mergeCell ref="A21:B21"/>
    <mergeCell ref="C21:D21"/>
    <mergeCell ref="E21:H21"/>
    <mergeCell ref="I21:K21"/>
    <mergeCell ref="A23:K23"/>
    <mergeCell ref="A26:H26"/>
    <mergeCell ref="A29:H29"/>
    <mergeCell ref="A32:H32"/>
    <mergeCell ref="A35:H35"/>
    <mergeCell ref="A39:H39"/>
    <mergeCell ref="A43:H43"/>
    <mergeCell ref="A52:H52"/>
    <mergeCell ref="A54:K54"/>
    <mergeCell ref="A55:B55"/>
    <mergeCell ref="C55:D55"/>
    <mergeCell ref="E55:F55"/>
    <mergeCell ref="H55:I55"/>
    <mergeCell ref="J55:K55"/>
    <mergeCell ref="A56:B56"/>
    <mergeCell ref="C56:D56"/>
    <mergeCell ref="E56:F56"/>
    <mergeCell ref="H56:I56"/>
    <mergeCell ref="J56:K56"/>
    <mergeCell ref="A57:B57"/>
    <mergeCell ref="C57:D57"/>
    <mergeCell ref="E57:F57"/>
    <mergeCell ref="H57:I57"/>
    <mergeCell ref="J57:K57"/>
    <mergeCell ref="A58:B58"/>
    <mergeCell ref="C58:D58"/>
    <mergeCell ref="E58:F58"/>
    <mergeCell ref="H58:I58"/>
    <mergeCell ref="J58:K58"/>
    <mergeCell ref="A59:B59"/>
    <mergeCell ref="C59:D59"/>
    <mergeCell ref="E59:F59"/>
    <mergeCell ref="H59:I59"/>
    <mergeCell ref="J59:K59"/>
    <mergeCell ref="A60:F60"/>
    <mergeCell ref="H60:I60"/>
    <mergeCell ref="J60:K60"/>
    <mergeCell ref="A61:K61"/>
    <mergeCell ref="A63:K63"/>
    <mergeCell ref="A64:B64"/>
    <mergeCell ref="A65:B65"/>
    <mergeCell ref="A66:B66"/>
    <mergeCell ref="A67:B67"/>
    <mergeCell ref="A68:B68"/>
    <mergeCell ref="A69:H69"/>
    <mergeCell ref="J69:K69"/>
    <mergeCell ref="A71:K71"/>
  </mergeCells>
  <dataValidations count="1">
    <dataValidation allowBlank="true" errorStyle="stop" operator="between" showDropDown="false" showErrorMessage="false" showInputMessage="false" sqref="J25 J28 J31 J34 J37:J38 J41:J42 J45:J51 J67:J68" type="list">
      <formula1>"O,X"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2026-10-06T04:58:46Z</dcterms:created>
  <dc:creator>openpyxl</dc:creator>
  <dc:description/>
  <dc:language>en-US</dc:language>
  <cp:lastModifiedBy/>
  <dcterms:modified xsi:type="dcterms:W3CDTF">2026-10-06T04:58:46Z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