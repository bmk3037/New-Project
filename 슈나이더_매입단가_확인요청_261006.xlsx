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매입 단가 확인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<sst xmlns="http://schemas.openxmlformats.org/spreadsheetml/2006/main" count="153" uniqueCount="102">
  <si>
    <r>
      <rPr>
        <b val="true"/>
        <sz val="18"/>
        <color rgb="FF1F3864"/>
        <rFont val="맑은 고딕"/>
        <family val="0"/>
        <charset val="1"/>
      </rPr>
      <t xml:space="preserve">PLC </t>
    </r>
    <r>
      <rPr>
        <b val="true"/>
        <sz val="18"/>
        <color rgb="FF1F3864"/>
        <rFont val="WenQuanYi Zen Hei"/>
        <family val="2"/>
      </rPr>
      <t xml:space="preserve">매입 단가 확인 요청</t>
    </r>
  </si>
  <si>
    <r>
      <rPr>
        <sz val="9"/>
        <color rgb="FF595959"/>
        <rFont val="맑은 고딕"/>
        <family val="0"/>
        <charset val="1"/>
      </rPr>
      <t xml:space="preserve">Techross PLC </t>
    </r>
    <r>
      <rPr>
        <sz val="9"/>
        <color rgb="FF595959"/>
        <rFont val="WenQuanYi Zen Hei"/>
        <family val="2"/>
      </rPr>
      <t xml:space="preserve">교체 건 </t>
    </r>
    <r>
      <rPr>
        <sz val="9"/>
        <color rgb="FF595959"/>
        <rFont val="맑은 고딕"/>
        <family val="0"/>
        <charset val="1"/>
      </rPr>
      <t xml:space="preserve">(TSU · ANU · ANU-S · MCC)  ·  2026-10-06  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맑은 고딕"/>
        <family val="0"/>
        <charset val="1"/>
      </rPr>
      <t xml:space="preserve">, VAT </t>
    </r>
    <r>
      <rPr>
        <sz val="9"/>
        <color rgb="FF595959"/>
        <rFont val="WenQuanYi Zen Hei"/>
        <family val="2"/>
      </rPr>
      <t xml:space="preserve">별도</t>
    </r>
  </si>
  <si>
    <t xml:space="preserve">수신</t>
  </si>
  <si>
    <t xml:space="preserve">장성웅 이사님</t>
  </si>
  <si>
    <t xml:space="preserve">발신</t>
  </si>
  <si>
    <r>
      <rPr>
        <sz val="9"/>
        <color rgb="FF0000FF"/>
        <rFont val="맑은 고딕"/>
        <family val="0"/>
        <charset val="1"/>
      </rPr>
      <t xml:space="preserve">(</t>
    </r>
    <r>
      <rPr>
        <sz val="9"/>
        <color rgb="FF0000FF"/>
        <rFont val="WenQuanYi Zen Hei"/>
        <family val="2"/>
      </rPr>
      <t xml:space="preserve">주</t>
    </r>
    <r>
      <rPr>
        <sz val="9"/>
        <color rgb="FF0000FF"/>
        <rFont val="맑은 고딕"/>
        <family val="0"/>
        <charset val="1"/>
      </rPr>
      <t xml:space="preserve">)</t>
    </r>
    <r>
      <rPr>
        <sz val="9"/>
        <color rgb="FF0000FF"/>
        <rFont val="WenQuanYi Zen Hei"/>
        <family val="2"/>
      </rPr>
      <t xml:space="preserve">동인엔시스  </t>
    </r>
    <r>
      <rPr>
        <sz val="9"/>
        <color rgb="FF0000FF"/>
        <rFont val="맑은 고딕"/>
        <family val="0"/>
        <charset val="1"/>
      </rPr>
      <t xml:space="preserve">[</t>
    </r>
    <r>
      <rPr>
        <sz val="9"/>
        <color rgb="FF0000FF"/>
        <rFont val="WenQuanYi Zen Hei"/>
        <family val="2"/>
      </rPr>
      <t xml:space="preserve">담당자</t>
    </r>
    <r>
      <rPr>
        <sz val="9"/>
        <color rgb="FF0000FF"/>
        <rFont val="맑은 고딕"/>
        <family val="0"/>
        <charset val="1"/>
      </rPr>
      <t xml:space="preserve">] / [</t>
    </r>
    <r>
      <rPr>
        <sz val="9"/>
        <color rgb="FF0000FF"/>
        <rFont val="WenQuanYi Zen Hei"/>
        <family val="2"/>
      </rPr>
      <t xml:space="preserve">연락처</t>
    </r>
    <r>
      <rPr>
        <sz val="9"/>
        <color rgb="FF0000FF"/>
        <rFont val="맑은 고딕"/>
        <family val="0"/>
        <charset val="1"/>
      </rPr>
      <t xml:space="preserve">]</t>
    </r>
  </si>
  <si>
    <t xml:space="preserve">회신 요청</t>
  </si>
  <si>
    <r>
      <rPr>
        <sz val="9"/>
        <color rgb="FF0000FF"/>
        <rFont val="맑은 고딕"/>
        <family val="0"/>
        <charset val="1"/>
      </rPr>
      <t xml:space="preserve">[    </t>
    </r>
    <r>
      <rPr>
        <sz val="9"/>
        <color rgb="FF0000FF"/>
        <rFont val="WenQuanYi Zen Hei"/>
        <family val="2"/>
      </rPr>
      <t xml:space="preserve">월    일</t>
    </r>
    <r>
      <rPr>
        <sz val="9"/>
        <color rgb="FF0000FF"/>
        <rFont val="맑은 고딕"/>
        <family val="0"/>
        <charset val="1"/>
      </rPr>
      <t xml:space="preserve">]</t>
    </r>
    <r>
      <rPr>
        <sz val="9"/>
        <color rgb="FF0000FF"/>
        <rFont val="WenQuanYi Zen Hei"/>
        <family val="2"/>
      </rPr>
      <t xml:space="preserve">까지  —  아래 </t>
    </r>
    <r>
      <rPr>
        <sz val="9"/>
        <color rgb="FF0000FF"/>
        <rFont val="맑은 고딕"/>
        <family val="0"/>
        <charset val="1"/>
      </rPr>
      <t xml:space="preserve">'</t>
    </r>
    <r>
      <rPr>
        <sz val="9"/>
        <color rgb="FF0000FF"/>
        <rFont val="WenQuanYi Zen Hei"/>
        <family val="2"/>
      </rPr>
      <t xml:space="preserve">확인</t>
    </r>
    <r>
      <rPr>
        <sz val="9"/>
        <color rgb="FF0000FF"/>
        <rFont val="맑은 고딕"/>
        <family val="0"/>
        <charset val="1"/>
      </rPr>
      <t xml:space="preserve">' </t>
    </r>
    <r>
      <rPr>
        <sz val="9"/>
        <color rgb="FF0000FF"/>
        <rFont val="WenQuanYi Zen Hei"/>
        <family val="2"/>
      </rPr>
      <t xml:space="preserve">칸에 </t>
    </r>
    <r>
      <rPr>
        <sz val="9"/>
        <color rgb="FF0000FF"/>
        <rFont val="맑은 고딕"/>
        <family val="0"/>
        <charset val="1"/>
      </rPr>
      <t xml:space="preserve">O/X, </t>
    </r>
    <r>
      <rPr>
        <sz val="9"/>
        <color rgb="FF0000FF"/>
        <rFont val="WenQuanYi Zen Hei"/>
        <family val="2"/>
      </rPr>
      <t xml:space="preserve">수정 사항은 </t>
    </r>
    <r>
      <rPr>
        <sz val="9"/>
        <color rgb="FF0000FF"/>
        <rFont val="맑은 고딕"/>
        <family val="0"/>
        <charset val="1"/>
      </rPr>
      <t xml:space="preserve">'</t>
    </r>
    <r>
      <rPr>
        <sz val="9"/>
        <color rgb="FF0000FF"/>
        <rFont val="WenQuanYi Zen Hei"/>
        <family val="2"/>
      </rPr>
      <t xml:space="preserve">코멘트</t>
    </r>
    <r>
      <rPr>
        <sz val="9"/>
        <color rgb="FF0000FF"/>
        <rFont val="맑은 고딕"/>
        <family val="0"/>
        <charset val="1"/>
      </rPr>
      <t xml:space="preserve">' </t>
    </r>
    <r>
      <rPr>
        <sz val="9"/>
        <color rgb="FF0000FF"/>
        <rFont val="WenQuanYi Zen Hei"/>
        <family val="2"/>
      </rPr>
      <t xml:space="preserve">칸에 기재 부탁드립니다</t>
    </r>
    <r>
      <rPr>
        <sz val="9"/>
        <color rgb="FF0000FF"/>
        <rFont val="맑은 고딕"/>
        <family val="0"/>
        <charset val="1"/>
      </rPr>
      <t xml:space="preserve">.</t>
    </r>
  </si>
  <si>
    <t xml:space="preserve">확인 요청 사항</t>
  </si>
  <si>
    <t xml:space="preserve">① 협의 할인율 적용 확인: CPU(TM241) 0.40 / 확장 모듈(TM3) 0.35</t>
  </si>
  <si>
    <t xml:space="preserve">② 노란색 품목(MCC: TM3DQ16T · TM3DQ8T · TM3XTRA1 · TM3XREC1) 리스트가 및 매입 단가 확인 — 특히 TM3XTRA1 · TM3XREC1은 이번에 추가된 품목입니다 (아래 변경 내용 참고)</t>
  </si>
  <si>
    <t xml:space="preserve">    → 확장 모듈 9개 구성에서 버스 확장(Local 7 + Remote 2) 방식과 전원 용량이 적정한지도 함께 확인 부탁드립니다</t>
  </si>
  <si>
    <r>
      <rPr>
        <sz val="9"/>
        <color rgb="FF000000"/>
        <rFont val="맑은 고딕"/>
        <family val="0"/>
        <charset val="1"/>
      </rPr>
      <t xml:space="preserve">③ (</t>
    </r>
    <r>
      <rPr>
        <sz val="9"/>
        <color rgb="FF000000"/>
        <rFont val="WenQuanYi Zen Hei"/>
        <family val="2"/>
      </rPr>
      <t xml:space="preserve">참고</t>
    </r>
    <r>
      <rPr>
        <sz val="9"/>
        <color rgb="FF000000"/>
        <rFont val="맑은 고딕"/>
        <family val="0"/>
        <charset val="1"/>
      </rPr>
      <t xml:space="preserve">) MCC </t>
    </r>
    <r>
      <rPr>
        <sz val="9"/>
        <color rgb="FF000000"/>
        <rFont val="WenQuanYi Zen Hei"/>
        <family val="2"/>
      </rPr>
      <t xml:space="preserve">출력을 </t>
    </r>
    <r>
      <rPr>
        <sz val="9"/>
        <color rgb="FF000000"/>
        <rFont val="맑은 고딕"/>
        <family val="0"/>
        <charset val="1"/>
      </rPr>
      <t xml:space="preserve">Relay</t>
    </r>
    <r>
      <rPr>
        <sz val="9"/>
        <color rgb="FF000000"/>
        <rFont val="WenQuanYi Zen Hei"/>
        <family val="2"/>
      </rPr>
      <t xml:space="preserve">로 할 경우 </t>
    </r>
    <r>
      <rPr>
        <sz val="9"/>
        <color rgb="FF000000"/>
        <rFont val="맑은 고딕"/>
        <family val="0"/>
        <charset val="1"/>
      </rPr>
      <t xml:space="preserve">TM3DQ16R · TM3DQ8R </t>
    </r>
    <r>
      <rPr>
        <sz val="9"/>
        <color rgb="FF000000"/>
        <rFont val="WenQuanYi Zen Hei"/>
        <family val="2"/>
      </rPr>
      <t xml:space="preserve">동일 조건 단가 확인 — 하단 참고 표</t>
    </r>
  </si>
  <si>
    <r>
      <rPr>
        <sz val="9"/>
        <color rgb="FF000000"/>
        <rFont val="맑은 고딕"/>
        <family val="0"/>
        <charset val="1"/>
      </rPr>
      <t xml:space="preserve">④ 2027</t>
    </r>
    <r>
      <rPr>
        <sz val="9"/>
        <color rgb="FF000000"/>
        <rFont val="WenQuanYi Zen Hei"/>
        <family val="2"/>
      </rPr>
      <t xml:space="preserve">년 공급 가격 적용 여부 및 단가 유효기간</t>
    </r>
  </si>
  <si>
    <t xml:space="preserve">⑤ 품목별 납기(리드타임)</t>
  </si>
  <si>
    <r>
      <rPr>
        <b val="true"/>
        <sz val="11"/>
        <color rgb="FF1F3864"/>
        <rFont val="맑은 고딕"/>
        <family val="0"/>
        <charset val="1"/>
      </rPr>
      <t xml:space="preserve">MCC </t>
    </r>
    <r>
      <rPr>
        <b val="true"/>
        <sz val="11"/>
        <color rgb="FF1F3864"/>
        <rFont val="WenQuanYi Zen Hei"/>
        <family val="2"/>
      </rPr>
      <t xml:space="preserve">구성 변경 내용 </t>
    </r>
    <r>
      <rPr>
        <b val="true"/>
        <sz val="11"/>
        <color rgb="FF1F3864"/>
        <rFont val="맑은 고딕"/>
        <family val="0"/>
        <charset val="1"/>
      </rPr>
      <t xml:space="preserve">(Schneider </t>
    </r>
    <r>
      <rPr>
        <b val="true"/>
        <sz val="11"/>
        <color rgb="FF1F3864"/>
        <rFont val="WenQuanYi Zen Hei"/>
        <family val="2"/>
      </rPr>
      <t xml:space="preserve">제안 대비</t>
    </r>
    <r>
      <rPr>
        <b val="true"/>
        <sz val="11"/>
        <color rgb="FF1F3864"/>
        <rFont val="맑은 고딕"/>
        <family val="0"/>
        <charset val="1"/>
      </rPr>
      <t xml:space="preserve">)  —  </t>
    </r>
    <r>
      <rPr>
        <b val="true"/>
        <sz val="11"/>
        <color rgb="FF1F3864"/>
        <rFont val="WenQuanYi Zen Hei"/>
        <family val="2"/>
      </rPr>
      <t xml:space="preserve">기준</t>
    </r>
    <r>
      <rPr>
        <b val="true"/>
        <sz val="11"/>
        <color rgb="FF1F3864"/>
        <rFont val="맑은 고딕"/>
        <family val="0"/>
        <charset val="1"/>
      </rPr>
      <t xml:space="preserve">: </t>
    </r>
    <r>
      <rPr>
        <b val="true"/>
        <sz val="11"/>
        <color rgb="FF1F3864"/>
        <rFont val="WenQuanYi Zen Hei"/>
        <family val="2"/>
      </rPr>
      <t xml:space="preserve">기존 </t>
    </r>
    <r>
      <rPr>
        <b val="true"/>
        <sz val="11"/>
        <color rgb="FF1F3864"/>
        <rFont val="맑은 고딕"/>
        <family val="0"/>
        <charset val="1"/>
      </rPr>
      <t xml:space="preserve">ABB </t>
    </r>
    <r>
      <rPr>
        <b val="true"/>
        <sz val="11"/>
        <color rgb="FF1F3864"/>
        <rFont val="WenQuanYi Zen Hei"/>
        <family val="2"/>
      </rPr>
      <t xml:space="preserve">사양 현행 유지 </t>
    </r>
    <r>
      <rPr>
        <b val="true"/>
        <sz val="11"/>
        <color rgb="FF1F3864"/>
        <rFont val="맑은 고딕"/>
        <family val="0"/>
        <charset val="1"/>
      </rPr>
      <t xml:space="preserve">(DI 102 / DO 54 / AO 4)</t>
    </r>
  </si>
  <si>
    <t xml:space="preserve">구분</t>
  </si>
  <si>
    <r>
      <rPr>
        <b val="true"/>
        <sz val="9"/>
        <color rgb="FFFFFFFF"/>
        <rFont val="맑은 고딕"/>
        <family val="0"/>
        <charset val="1"/>
      </rPr>
      <t xml:space="preserve">Schneider </t>
    </r>
    <r>
      <rPr>
        <b val="true"/>
        <sz val="9"/>
        <color rgb="FFFFFFFF"/>
        <rFont val="WenQuanYi Zen Hei"/>
        <family val="2"/>
      </rPr>
      <t xml:space="preserve">제안 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변경 전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</si>
  <si>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현재 구성 (변경 후)</t>
  </si>
  <si>
    <t xml:space="preserve">변경 사유</t>
  </si>
  <si>
    <t xml:space="preserve">디지털 입력</t>
  </si>
  <si>
    <r>
      <rPr>
        <sz val="9"/>
        <color rgb="FF7F7F7F"/>
        <rFont val="맑은 고딕"/>
        <family val="0"/>
        <charset val="1"/>
      </rPr>
      <t xml:space="preserve">TM3DI16 ×2 + TM3DI8
(CPU </t>
    </r>
    <r>
      <rPr>
        <sz val="9"/>
        <color rgb="FF7F7F7F"/>
        <rFont val="WenQuanYi Zen Hei"/>
        <family val="2"/>
      </rPr>
      <t xml:space="preserve">포함 </t>
    </r>
    <r>
      <rPr>
        <sz val="9"/>
        <color rgb="FF7F7F7F"/>
        <rFont val="맑은 고딕"/>
        <family val="0"/>
        <charset val="1"/>
      </rPr>
      <t xml:space="preserve">DI 64)</t>
    </r>
  </si>
  <si>
    <r>
      <rPr>
        <b val="true"/>
        <sz val="9"/>
        <color rgb="FF000000"/>
        <rFont val="맑은 고딕"/>
        <family val="0"/>
        <charset val="1"/>
      </rPr>
      <t xml:space="preserve">TM3DI16 ×5  (CPU </t>
    </r>
    <r>
      <rPr>
        <b val="true"/>
        <sz val="9"/>
        <color rgb="FF000000"/>
        <rFont val="WenQuanYi Zen Hei"/>
        <family val="2"/>
      </rPr>
      <t xml:space="preserve">포함 </t>
    </r>
    <r>
      <rPr>
        <b val="true"/>
        <sz val="9"/>
        <color rgb="FF000000"/>
        <rFont val="맑은 고딕"/>
        <family val="0"/>
        <charset val="1"/>
      </rPr>
      <t xml:space="preserve">DI 104)</t>
    </r>
  </si>
  <si>
    <t xml:space="preserve">기존 입력 102점 충족 (DI562 ×6 + CPU)</t>
  </si>
  <si>
    <t xml:space="preserve">디지털 출력</t>
  </si>
  <si>
    <r>
      <rPr>
        <sz val="9"/>
        <color rgb="FF7F7F7F"/>
        <rFont val="맑은 고딕"/>
        <family val="0"/>
        <charset val="1"/>
      </rPr>
      <t xml:space="preserve">TM3DQ16T ×1 + TM3DQ8T ×1
(CPU </t>
    </r>
    <r>
      <rPr>
        <sz val="9"/>
        <color rgb="FF7F7F7F"/>
        <rFont val="WenQuanYi Zen Hei"/>
        <family val="2"/>
      </rPr>
      <t xml:space="preserve">포함 </t>
    </r>
    <r>
      <rPr>
        <sz val="9"/>
        <color rgb="FF7F7F7F"/>
        <rFont val="맑은 고딕"/>
        <family val="0"/>
        <charset val="1"/>
      </rPr>
      <t xml:space="preserve">DO 40)</t>
    </r>
  </si>
  <si>
    <r>
      <rPr>
        <b val="true"/>
        <sz val="9"/>
        <color rgb="FF000000"/>
        <rFont val="맑은 고딕"/>
        <family val="0"/>
        <charset val="1"/>
      </rPr>
      <t xml:space="preserve">TM3DQ16T ×2 + TM3DQ8T ×1  (CPU </t>
    </r>
    <r>
      <rPr>
        <b val="true"/>
        <sz val="9"/>
        <color rgb="FF000000"/>
        <rFont val="WenQuanYi Zen Hei"/>
        <family val="2"/>
      </rPr>
      <t xml:space="preserve">포함 </t>
    </r>
    <r>
      <rPr>
        <b val="true"/>
        <sz val="9"/>
        <color rgb="FF000000"/>
        <rFont val="맑은 고딕"/>
        <family val="0"/>
        <charset val="1"/>
      </rPr>
      <t xml:space="preserve">DO 56)</t>
    </r>
  </si>
  <si>
    <t xml:space="preserve">기존 출력 54점 충족 (DO573 ×3 + CPU)</t>
  </si>
  <si>
    <t xml:space="preserve">아날로그 출력</t>
  </si>
  <si>
    <t xml:space="preserve">TM3AQ2 (AO 2)</t>
  </si>
  <si>
    <t xml:space="preserve">TM3AQ4 (AO 4)</t>
  </si>
  <si>
    <t xml:space="preserve">기존 AO 4CH 충족 (AO561 ×2)</t>
  </si>
  <si>
    <t xml:space="preserve">버스 확장</t>
  </si>
  <si>
    <t xml:space="preserve">없음 (확장 모듈 6개)</t>
  </si>
  <si>
    <r>
      <rPr>
        <b val="true"/>
        <sz val="9"/>
        <color rgb="FF000000"/>
        <rFont val="맑은 고딕"/>
        <family val="0"/>
        <charset val="1"/>
      </rPr>
      <t xml:space="preserve">TM3XTRA1 + TM3XREC1  </t>
    </r>
    <r>
      <rPr>
        <b val="true"/>
        <sz val="9"/>
        <color rgb="FF000000"/>
        <rFont val="WenQuanYi Zen Hei"/>
        <family val="2"/>
      </rPr>
      <t xml:space="preserve">추가
</t>
    </r>
    <r>
      <rPr>
        <b val="true"/>
        <sz val="9"/>
        <color rgb="FF000000"/>
        <rFont val="맑은 고딕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확장 모듈 </t>
    </r>
    <r>
      <rPr>
        <b val="true"/>
        <sz val="9"/>
        <color rgb="FF000000"/>
        <rFont val="맑은 고딕"/>
        <family val="0"/>
        <charset val="1"/>
      </rPr>
      <t xml:space="preserve">9</t>
    </r>
    <r>
      <rPr>
        <b val="true"/>
        <sz val="9"/>
        <color rgb="FF000000"/>
        <rFont val="WenQuanYi Zen Hei"/>
        <family val="2"/>
      </rPr>
      <t xml:space="preserve">개 </t>
    </r>
    <r>
      <rPr>
        <b val="true"/>
        <sz val="9"/>
        <color rgb="FF000000"/>
        <rFont val="맑은 고딕"/>
        <family val="0"/>
        <charset val="1"/>
      </rPr>
      <t xml:space="preserve">= Local 7 + Remote 2)</t>
    </r>
  </si>
  <si>
    <t xml:space="preserve">확장 모듈이 9개로 늘어 M241 직접 연결 한도(7개) 초과 → 버스 확장 필요</t>
  </si>
  <si>
    <r>
      <rPr>
        <b val="true"/>
        <sz val="11"/>
        <color rgb="FF1F3864"/>
        <rFont val="맑은 고딕"/>
        <family val="0"/>
        <charset val="1"/>
      </rPr>
      <t xml:space="preserve">1. </t>
    </r>
    <r>
      <rPr>
        <b val="true"/>
        <sz val="11"/>
        <color rgb="FF1F3864"/>
        <rFont val="WenQuanYi Zen Hei"/>
        <family val="2"/>
      </rPr>
      <t xml:space="preserve">프로젝트별 매입 구성 </t>
    </r>
    <r>
      <rPr>
        <b val="true"/>
        <sz val="11"/>
        <color rgb="FF1F3864"/>
        <rFont val="맑은 고딕"/>
        <family val="0"/>
        <charset val="1"/>
      </rPr>
      <t xml:space="preserve">(1</t>
    </r>
    <r>
      <rPr>
        <b val="true"/>
        <sz val="11"/>
        <color rgb="FF1F3864"/>
        <rFont val="WenQuanYi Zen Hei"/>
        <family val="2"/>
      </rPr>
      <t xml:space="preserve">대 기준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</si>
  <si>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프로젝트</t>
  </si>
  <si>
    <t xml:space="preserve">전원</t>
  </si>
  <si>
    <t xml:space="preserve">모델</t>
  </si>
  <si>
    <t xml:space="preserve">품목</t>
  </si>
  <si>
    <t xml:space="preserve">수량</t>
  </si>
  <si>
    <t xml:space="preserve">리스트가</t>
  </si>
  <si>
    <t xml:space="preserve">할인율</t>
  </si>
  <si>
    <t xml:space="preserve">매입 단가</t>
  </si>
  <si>
    <t xml:space="preserve">매입 금액</t>
  </si>
  <si>
    <t xml:space="preserve">확인
(O/X)</t>
  </si>
  <si>
    <t xml:space="preserve">코멘트</t>
  </si>
  <si>
    <t xml:space="preserve">TSU</t>
  </si>
  <si>
    <t xml:space="preserve">DC24V</t>
  </si>
  <si>
    <t xml:space="preserve">TM241C24T</t>
  </si>
  <si>
    <t xml:space="preserve">M241 CPU 24 I/O, TR, DC24V</t>
  </si>
  <si>
    <r>
      <rPr>
        <b val="true"/>
        <sz val="9"/>
        <color rgb="FF000000"/>
        <rFont val="맑은 고딕"/>
        <family val="0"/>
        <charset val="1"/>
      </rPr>
      <t xml:space="preserve">TSU DC24V  1</t>
    </r>
    <r>
      <rPr>
        <b val="true"/>
        <sz val="9"/>
        <color rgb="FF000000"/>
        <rFont val="WenQuanYi Zen Hei"/>
        <family val="2"/>
      </rPr>
      <t xml:space="preserve">대 매입가</t>
    </r>
  </si>
  <si>
    <t xml:space="preserve">AC220V</t>
  </si>
  <si>
    <t xml:space="preserve">TM241C24R</t>
  </si>
  <si>
    <t xml:space="preserve">M241 CPU 24 I/O, Relay, AC</t>
  </si>
  <si>
    <r>
      <rPr>
        <b val="true"/>
        <sz val="9"/>
        <color rgb="FF000000"/>
        <rFont val="맑은 고딕"/>
        <family val="0"/>
        <charset val="1"/>
      </rPr>
      <t xml:space="preserve">TSU AC220V  1</t>
    </r>
    <r>
      <rPr>
        <b val="true"/>
        <sz val="9"/>
        <color rgb="FF000000"/>
        <rFont val="WenQuanYi Zen Hei"/>
        <family val="2"/>
      </rPr>
      <t xml:space="preserve">대 매입가</t>
    </r>
  </si>
  <si>
    <t xml:space="preserve">ANU</t>
  </si>
  <si>
    <t xml:space="preserve">TM241C40T</t>
  </si>
  <si>
    <t xml:space="preserve">M241 CPU 40 I/O, TR, DC24V</t>
  </si>
  <si>
    <r>
      <rPr>
        <b val="true"/>
        <sz val="9"/>
        <color rgb="FF000000"/>
        <rFont val="맑은 고딕"/>
        <family val="0"/>
        <charset val="1"/>
      </rPr>
      <t xml:space="preserve">ANU DC24V  1</t>
    </r>
    <r>
      <rPr>
        <b val="true"/>
        <sz val="9"/>
        <color rgb="FF000000"/>
        <rFont val="WenQuanYi Zen Hei"/>
        <family val="2"/>
      </rPr>
      <t xml:space="preserve">대 매입가</t>
    </r>
  </si>
  <si>
    <t xml:space="preserve">TM241C40R</t>
  </si>
  <si>
    <t xml:space="preserve">M241 CPU 40 I/O, Relay, AC</t>
  </si>
  <si>
    <r>
      <rPr>
        <b val="true"/>
        <sz val="9"/>
        <color rgb="FF000000"/>
        <rFont val="맑은 고딕"/>
        <family val="0"/>
        <charset val="1"/>
      </rPr>
      <t xml:space="preserve">ANU AC220V  1</t>
    </r>
    <r>
      <rPr>
        <b val="true"/>
        <sz val="9"/>
        <color rgb="FF000000"/>
        <rFont val="WenQuanYi Zen Hei"/>
        <family val="2"/>
      </rPr>
      <t xml:space="preserve">대 매입가</t>
    </r>
  </si>
  <si>
    <t xml:space="preserve">ANU-S</t>
  </si>
  <si>
    <t xml:space="preserve">TM3AQ2</t>
  </si>
  <si>
    <t xml:space="preserve">아날로그 출력 2CH</t>
  </si>
  <si>
    <r>
      <rPr>
        <b val="true"/>
        <sz val="9"/>
        <color rgb="FF000000"/>
        <rFont val="맑은 고딕"/>
        <family val="0"/>
        <charset val="1"/>
      </rPr>
      <t xml:space="preserve">ANU-S DC24V  1</t>
    </r>
    <r>
      <rPr>
        <b val="true"/>
        <sz val="9"/>
        <color rgb="FF000000"/>
        <rFont val="WenQuanYi Zen Hei"/>
        <family val="2"/>
      </rPr>
      <t xml:space="preserve">대 매입가</t>
    </r>
  </si>
  <si>
    <r>
      <rPr>
        <b val="true"/>
        <sz val="9"/>
        <color rgb="FF000000"/>
        <rFont val="맑은 고딕"/>
        <family val="0"/>
        <charset val="1"/>
      </rPr>
      <t xml:space="preserve">ANU-S AC220V  1</t>
    </r>
    <r>
      <rPr>
        <b val="true"/>
        <sz val="9"/>
        <color rgb="FF000000"/>
        <rFont val="WenQuanYi Zen Hei"/>
        <family val="2"/>
      </rPr>
      <t xml:space="preserve">대 매입가</t>
    </r>
  </si>
  <si>
    <t xml:space="preserve">MCC</t>
  </si>
  <si>
    <t xml:space="preserve">TM241CE40T</t>
  </si>
  <si>
    <t xml:space="preserve">M241 CPU 40 I/O, TR, Ethernet, DC24V</t>
  </si>
  <si>
    <t xml:space="preserve">TM3DI16</t>
  </si>
  <si>
    <t xml:space="preserve">디지털 입력 16점</t>
  </si>
  <si>
    <t xml:space="preserve">TM3DQ16T</t>
  </si>
  <si>
    <r>
      <rPr>
        <sz val="8"/>
        <color rgb="FF000000"/>
        <rFont val="맑은 고딕"/>
        <family val="0"/>
        <charset val="1"/>
      </rPr>
      <t xml:space="preserve">TR </t>
    </r>
    <r>
      <rPr>
        <sz val="8"/>
        <color rgb="FF000000"/>
        <rFont val="WenQuanYi Zen Hei"/>
        <family val="2"/>
      </rPr>
      <t xml:space="preserve">출력 </t>
    </r>
    <r>
      <rPr>
        <sz val="8"/>
        <color rgb="FF000000"/>
        <rFont val="맑은 고딕"/>
        <family val="0"/>
        <charset val="1"/>
      </rPr>
      <t xml:space="preserve">16</t>
    </r>
    <r>
      <rPr>
        <sz val="8"/>
        <color rgb="FF000000"/>
        <rFont val="WenQuanYi Zen Hei"/>
        <family val="2"/>
      </rPr>
      <t xml:space="preserve">점</t>
    </r>
  </si>
  <si>
    <t xml:space="preserve">TM3DQ8T</t>
  </si>
  <si>
    <r>
      <rPr>
        <sz val="8"/>
        <color rgb="FF000000"/>
        <rFont val="맑은 고딕"/>
        <family val="0"/>
        <charset val="1"/>
      </rPr>
      <t xml:space="preserve">TR </t>
    </r>
    <r>
      <rPr>
        <sz val="8"/>
        <color rgb="FF000000"/>
        <rFont val="WenQuanYi Zen Hei"/>
        <family val="2"/>
      </rPr>
      <t xml:space="preserve">출력 </t>
    </r>
    <r>
      <rPr>
        <sz val="8"/>
        <color rgb="FF000000"/>
        <rFont val="맑은 고딕"/>
        <family val="0"/>
        <charset val="1"/>
      </rPr>
      <t xml:space="preserve">8</t>
    </r>
    <r>
      <rPr>
        <sz val="8"/>
        <color rgb="FF000000"/>
        <rFont val="WenQuanYi Zen Hei"/>
        <family val="2"/>
      </rPr>
      <t xml:space="preserve">점</t>
    </r>
  </si>
  <si>
    <t xml:space="preserve">TM3AQ4</t>
  </si>
  <si>
    <t xml:space="preserve">아날로그 출력 4CH</t>
  </si>
  <si>
    <t xml:space="preserve">TM3XTRA1</t>
  </si>
  <si>
    <r>
      <rPr>
        <sz val="8"/>
        <color rgb="FF000000"/>
        <rFont val="맑은 고딕"/>
        <family val="0"/>
        <charset val="1"/>
      </rPr>
      <t xml:space="preserve">TM3 </t>
    </r>
    <r>
      <rPr>
        <sz val="8"/>
        <color rgb="FF000000"/>
        <rFont val="WenQuanYi Zen Hei"/>
        <family val="2"/>
      </rPr>
      <t xml:space="preserve">버스 확장 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WenQuanYi Zen Hei"/>
        <family val="2"/>
      </rPr>
      <t xml:space="preserve">송신</t>
    </r>
    <r>
      <rPr>
        <sz val="8"/>
        <color rgb="FF000000"/>
        <rFont val="맑은 고딕"/>
        <family val="0"/>
        <charset val="1"/>
      </rPr>
      <t xml:space="preserve">) — </t>
    </r>
    <r>
      <rPr>
        <sz val="8"/>
        <color rgb="FF000000"/>
        <rFont val="WenQuanYi Zen Hei"/>
        <family val="2"/>
      </rPr>
      <t xml:space="preserve">추가</t>
    </r>
  </si>
  <si>
    <t xml:space="preserve">TM3XREC1</t>
  </si>
  <si>
    <r>
      <rPr>
        <sz val="8"/>
        <color rgb="FF000000"/>
        <rFont val="맑은 고딕"/>
        <family val="0"/>
        <charset val="1"/>
      </rPr>
      <t xml:space="preserve">TM3 </t>
    </r>
    <r>
      <rPr>
        <sz val="8"/>
        <color rgb="FF000000"/>
        <rFont val="WenQuanYi Zen Hei"/>
        <family val="2"/>
      </rPr>
      <t xml:space="preserve">버스 확장 </t>
    </r>
    <r>
      <rPr>
        <sz val="8"/>
        <color rgb="FF000000"/>
        <rFont val="맑은 고딕"/>
        <family val="0"/>
        <charset val="1"/>
      </rPr>
      <t xml:space="preserve">(</t>
    </r>
    <r>
      <rPr>
        <sz val="8"/>
        <color rgb="FF000000"/>
        <rFont val="WenQuanYi Zen Hei"/>
        <family val="2"/>
      </rPr>
      <t xml:space="preserve">수신</t>
    </r>
    <r>
      <rPr>
        <sz val="8"/>
        <color rgb="FF000000"/>
        <rFont val="맑은 고딕"/>
        <family val="0"/>
        <charset val="1"/>
      </rPr>
      <t xml:space="preserve">) — </t>
    </r>
    <r>
      <rPr>
        <sz val="8"/>
        <color rgb="FF000000"/>
        <rFont val="WenQuanYi Zen Hei"/>
        <family val="2"/>
      </rPr>
      <t xml:space="preserve">추가</t>
    </r>
  </si>
  <si>
    <r>
      <rPr>
        <b val="true"/>
        <sz val="9"/>
        <color rgb="FF000000"/>
        <rFont val="맑은 고딕"/>
        <family val="0"/>
        <charset val="1"/>
      </rPr>
      <t xml:space="preserve">MCC DC24V  1</t>
    </r>
    <r>
      <rPr>
        <b val="true"/>
        <sz val="9"/>
        <color rgb="FF000000"/>
        <rFont val="WenQuanYi Zen Hei"/>
        <family val="2"/>
      </rPr>
      <t xml:space="preserve">대 매입가</t>
    </r>
  </si>
  <si>
    <r>
      <rPr>
        <b val="true"/>
        <sz val="11"/>
        <color rgb="FF1F3864"/>
        <rFont val="맑은 고딕"/>
        <family val="0"/>
        <charset val="1"/>
      </rPr>
      <t xml:space="preserve">2. 1</t>
    </r>
    <r>
      <rPr>
        <b val="true"/>
        <sz val="11"/>
        <color rgb="FF1F3864"/>
        <rFont val="WenQuanYi Zen Hei"/>
        <family val="2"/>
      </rPr>
      <t xml:space="preserve">대 매입가 요약 및 연간 예상 물량</t>
    </r>
  </si>
  <si>
    <r>
      <rPr>
        <b val="true"/>
        <sz val="9"/>
        <color rgb="FFFFFFFF"/>
        <rFont val="맑은 고딕"/>
        <family val="0"/>
        <charset val="1"/>
      </rPr>
      <t xml:space="preserve">1</t>
    </r>
    <r>
      <rPr>
        <b val="true"/>
        <sz val="9"/>
        <color rgb="FFFFFFFF"/>
        <rFont val="WenQuanYi Zen Hei"/>
        <family val="2"/>
      </rPr>
      <t xml:space="preserve">대 매입가
</t>
    </r>
    <r>
      <rPr>
        <b val="true"/>
        <sz val="9"/>
        <color rgb="FFFFFFFF"/>
        <rFont val="맑은 고딕"/>
        <family val="0"/>
        <charset val="1"/>
      </rPr>
      <t xml:space="preserve">DC24V</t>
    </r>
  </si>
  <si>
    <r>
      <rPr>
        <b val="true"/>
        <sz val="9"/>
        <color rgb="FFFFFFFF"/>
        <rFont val="맑은 고딕"/>
        <family val="0"/>
        <charset val="1"/>
      </rPr>
      <t xml:space="preserve">1</t>
    </r>
    <r>
      <rPr>
        <b val="true"/>
        <sz val="9"/>
        <color rgb="FFFFFFFF"/>
        <rFont val="WenQuanYi Zen Hei"/>
        <family val="2"/>
      </rPr>
      <t xml:space="preserve">대 매입가
</t>
    </r>
    <r>
      <rPr>
        <b val="true"/>
        <sz val="9"/>
        <color rgb="FFFFFFFF"/>
        <rFont val="맑은 고딕"/>
        <family val="0"/>
        <charset val="1"/>
      </rPr>
      <t xml:space="preserve">AC220V</t>
    </r>
  </si>
  <si>
    <t xml:space="preserve">연간
예상수량</t>
  </si>
  <si>
    <t xml:space="preserve">연간 매입
DC24V 기준</t>
  </si>
  <si>
    <t xml:space="preserve">연간 매입
AC220V 기준</t>
  </si>
  <si>
    <t xml:space="preserve">합계</t>
  </si>
  <si>
    <t xml:space="preserve">※ 연간 예상수량은 고객 제시 기준(TSU 200 / ANU 300 / ANU-S 50 / MCC 100 EA). MCC는 AC220V 기준에도 DC24V 구성으로 포함.</t>
  </si>
  <si>
    <r>
      <rPr>
        <b val="true"/>
        <sz val="11"/>
        <color rgb="FF1F3864"/>
        <rFont val="맑은 고딕"/>
        <family val="0"/>
        <charset val="1"/>
      </rPr>
      <t xml:space="preserve">3. (</t>
    </r>
    <r>
      <rPr>
        <b val="true"/>
        <sz val="11"/>
        <color rgb="FF1F3864"/>
        <rFont val="WenQuanYi Zen Hei"/>
        <family val="2"/>
      </rPr>
      <t xml:space="preserve">참고</t>
    </r>
    <r>
      <rPr>
        <b val="true"/>
        <sz val="11"/>
        <color rgb="FF1F3864"/>
        <rFont val="맑은 고딕"/>
        <family val="0"/>
        <charset val="1"/>
      </rPr>
      <t xml:space="preserve">) MCC </t>
    </r>
    <r>
      <rPr>
        <b val="true"/>
        <sz val="11"/>
        <color rgb="FF1F3864"/>
        <rFont val="WenQuanYi Zen Hei"/>
        <family val="2"/>
      </rPr>
      <t xml:space="preserve">출력 </t>
    </r>
    <r>
      <rPr>
        <b val="true"/>
        <sz val="11"/>
        <color rgb="FF1F3864"/>
        <rFont val="맑은 고딕"/>
        <family val="0"/>
        <charset val="1"/>
      </rPr>
      <t xml:space="preserve">Relay </t>
    </r>
    <r>
      <rPr>
        <b val="true"/>
        <sz val="11"/>
        <color rgb="FF1F3864"/>
        <rFont val="WenQuanYi Zen Hei"/>
        <family val="2"/>
      </rPr>
      <t xml:space="preserve">대안 — 단가 확인 요청</t>
    </r>
  </si>
  <si>
    <t xml:space="preserve">현재 (TR)</t>
  </si>
  <si>
    <t xml:space="preserve">대안 (Relay)</t>
  </si>
  <si>
    <t xml:space="preserve">TM3DQ16R</t>
  </si>
  <si>
    <r>
      <rPr>
        <sz val="8"/>
        <color rgb="FF000000"/>
        <rFont val="맑은 고딕"/>
        <family val="0"/>
        <charset val="1"/>
      </rPr>
      <t xml:space="preserve">Relay </t>
    </r>
    <r>
      <rPr>
        <sz val="8"/>
        <color rgb="FF000000"/>
        <rFont val="WenQuanYi Zen Hei"/>
        <family val="2"/>
      </rPr>
      <t xml:space="preserve">출력 </t>
    </r>
    <r>
      <rPr>
        <sz val="8"/>
        <color rgb="FF000000"/>
        <rFont val="맑은 고딕"/>
        <family val="0"/>
        <charset val="1"/>
      </rPr>
      <t xml:space="preserve">16</t>
    </r>
    <r>
      <rPr>
        <sz val="8"/>
        <color rgb="FF000000"/>
        <rFont val="WenQuanYi Zen Hei"/>
        <family val="2"/>
      </rPr>
      <t xml:space="preserve">점</t>
    </r>
  </si>
  <si>
    <t xml:space="preserve">TM3DQ8R</t>
  </si>
  <si>
    <r>
      <rPr>
        <sz val="8"/>
        <color rgb="FF000000"/>
        <rFont val="맑은 고딕"/>
        <family val="0"/>
        <charset val="1"/>
      </rPr>
      <t xml:space="preserve">Relay </t>
    </r>
    <r>
      <rPr>
        <sz val="8"/>
        <color rgb="FF000000"/>
        <rFont val="WenQuanYi Zen Hei"/>
        <family val="2"/>
      </rPr>
      <t xml:space="preserve">출력 </t>
    </r>
    <r>
      <rPr>
        <sz val="8"/>
        <color rgb="FF000000"/>
        <rFont val="맑은 고딕"/>
        <family val="0"/>
        <charset val="1"/>
      </rPr>
      <t xml:space="preserve">8</t>
    </r>
    <r>
      <rPr>
        <sz val="8"/>
        <color rgb="FF000000"/>
        <rFont val="WenQuanYi Zen Hei"/>
        <family val="2"/>
      </rPr>
      <t xml:space="preserve">점</t>
    </r>
  </si>
  <si>
    <r>
      <rPr>
        <b val="true"/>
        <sz val="9"/>
        <color rgb="FF000000"/>
        <rFont val="맑은 고딕"/>
        <family val="0"/>
        <charset val="1"/>
      </rPr>
      <t xml:space="preserve">Relay </t>
    </r>
    <r>
      <rPr>
        <b val="true"/>
        <sz val="9"/>
        <color rgb="FF000000"/>
        <rFont val="WenQuanYi Zen Hei"/>
        <family val="2"/>
      </rPr>
      <t xml:space="preserve">대안 적용 시 </t>
    </r>
    <r>
      <rPr>
        <b val="true"/>
        <sz val="9"/>
        <color rgb="FF000000"/>
        <rFont val="맑은 고딕"/>
        <family val="0"/>
        <charset val="1"/>
      </rPr>
      <t xml:space="preserve">MCC 1</t>
    </r>
    <r>
      <rPr>
        <b val="true"/>
        <sz val="9"/>
        <color rgb="FF000000"/>
        <rFont val="WenQuanYi Zen Hei"/>
        <family val="2"/>
      </rPr>
      <t xml:space="preserve">대 매입가 </t>
    </r>
    <r>
      <rPr>
        <b val="true"/>
        <sz val="9"/>
        <color rgb="FF000000"/>
        <rFont val="맑은 고딕"/>
        <family val="0"/>
        <charset val="1"/>
      </rPr>
      <t xml:space="preserve">(</t>
    </r>
    <r>
      <rPr>
        <b val="true"/>
        <sz val="9"/>
        <color rgb="FF000000"/>
        <rFont val="WenQuanYi Zen Hei"/>
        <family val="2"/>
      </rPr>
      <t xml:space="preserve">차액</t>
    </r>
    <r>
      <rPr>
        <b val="true"/>
        <sz val="9"/>
        <color rgb="FF000000"/>
        <rFont val="맑은 고딕"/>
        <family val="0"/>
        <charset val="1"/>
      </rPr>
      <t xml:space="preserve">)</t>
    </r>
  </si>
  <si>
    <t xml:space="preserve">노란색 = 확인 요청 품목  ·  파란 글씨 = 견적 기준 입력값  ·  연한 노란 칸 = 회신 기재란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</si>
</sst>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-#,##0;\-"/>
    <numFmt numFmtId="166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맑은 고딕"/>
      <family val="0"/>
      <charset val="1"/>
    </font>
    <font>
      <b val="true"/>
      <sz val="18"/>
      <color rgb="FF1F3864"/>
      <name val="WenQuanYi Zen Hei"/>
      <family val="2"/>
    </font>
    <font>
      <sz val="9"/>
      <color rgb="FF595959"/>
      <name val="맑은 고딕"/>
      <family val="0"/>
      <charset val="1"/>
    </font>
    <font>
      <sz val="9"/>
      <color rgb="FF595959"/>
      <name val="WenQuanYi Zen Hei"/>
      <family val="2"/>
    </font>
    <font>
      <b val="true"/>
      <sz val="9"/>
      <color rgb="FF000000"/>
      <name val="WenQuanYi Zen Hei"/>
      <family val="2"/>
      <charset val="1"/>
    </font>
    <font>
      <sz val="9"/>
      <color rgb="FF000000"/>
      <name val="WenQuanYi Zen Hei"/>
      <family val="2"/>
      <charset val="1"/>
    </font>
    <font>
      <sz val="9"/>
      <color rgb="FF0000FF"/>
      <name val="맑은 고딕"/>
      <family val="0"/>
      <charset val="1"/>
    </font>
    <font>
      <sz val="9"/>
      <color rgb="FF0000FF"/>
      <name val="WenQuanYi Zen Hei"/>
      <family val="2"/>
    </font>
    <font>
      <b val="true"/>
      <sz val="11"/>
      <color rgb="FF1F3864"/>
      <name val="WenQuanYi Zen Hei"/>
      <family val="2"/>
      <charset val="1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1"/>
      <color rgb="FF1F3864"/>
      <name val="WenQuanYi Zen Hei"/>
      <family val="2"/>
    </font>
    <font>
      <b val="true"/>
      <sz val="9"/>
      <color rgb="FFFFFFFF"/>
      <name val="WenQuanYi Zen Hei"/>
      <family val="2"/>
      <charset val="1"/>
    </font>
    <font>
      <b val="true"/>
      <sz val="9"/>
      <color rgb="FFFFFFFF"/>
      <name val="맑은 고딕"/>
      <family val="0"/>
      <charset val="1"/>
    </font>
    <font>
      <b val="true"/>
      <sz val="9"/>
      <color rgb="FFFFFFFF"/>
      <name val="WenQuanYi Zen Hei"/>
      <family val="2"/>
    </font>
    <font>
      <sz val="9"/>
      <color rgb="FF7F7F7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9"/>
      <color rgb="FF000000"/>
      <name val="맑은 고딕"/>
      <family val="0"/>
      <charset val="1"/>
    </font>
    <font>
      <b val="true"/>
      <sz val="9"/>
      <color rgb="FF000000"/>
      <name val="WenQuanYi Zen Hei"/>
      <family val="2"/>
    </font>
    <font>
      <sz val="9"/>
      <color rgb="FF7F7F7F"/>
      <name val="WenQuanYi Zen Hei"/>
      <family val="2"/>
      <charset val="1"/>
    </font>
    <font>
      <b val="true"/>
      <sz val="9"/>
      <color rgb="FFC00000"/>
      <name val="WenQuanYi Zen Hei"/>
      <family val="2"/>
      <charset val="1"/>
    </font>
    <font>
      <sz val="8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b val="true"/>
      <sz val="10"/>
      <color rgb="FF1F3864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8"/>
      <color rgb="FF000000"/>
      <name val="WenQuanYi Zen Hei"/>
      <family val="2"/>
      <charset val="1"/>
    </font>
    <font>
      <sz val="8"/>
      <color rgb="FF000000"/>
      <name val="WenQuanYi Zen Hei"/>
      <family val="2"/>
    </font>
    <font>
      <b val="true"/>
      <sz val="10"/>
      <color rgb="FF000000"/>
      <name val="WenQuanYi Zen Hei"/>
      <family val="2"/>
      <charset val="1"/>
    </font>
    <font>
      <sz val="8"/>
      <color rgb="FF595959"/>
      <name val="WenQuanYi Zen He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EDF2F9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F9E6"/>
        <bgColor rgb="FFFFFFFF"/>
      </patternFill>
    </fill>
    <fill>
      <patternFill patternType="solid">
        <fgColor rgb="FFEDF2F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9E6"/>
      <rgbColor rgb="FFEDF2F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13"/>
    <col collapsed="false" customWidth="true" hidden="false" outlineLevel="0" max="4" min="4" style="1" width="24"/>
    <col collapsed="false" customWidth="true" hidden="false" outlineLevel="0" max="5" min="5" style="1" width="7"/>
    <col collapsed="false" customWidth="true" hidden="false" outlineLevel="0" max="6" min="6" style="1" width="11"/>
    <col collapsed="false" customWidth="true" hidden="false" outlineLevel="0" max="7" min="7" style="1" width="8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8"/>
    <col collapsed="false" customWidth="true" hidden="false" outlineLevel="0" max="11" min="11" style="1" width="26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15" hidden="false" customHeight="true" outlineLevel="0" collapsed="false">
      <c r="A4" s="4" t="s">
        <v>2</v>
      </c>
      <c r="B4" s="4"/>
      <c r="C4" s="5" t="s">
        <v>3</v>
      </c>
      <c r="D4" s="5"/>
      <c r="E4" s="5"/>
      <c r="F4" s="5"/>
      <c r="G4" s="5"/>
      <c r="H4" s="5"/>
      <c r="I4" s="5"/>
      <c r="J4" s="5"/>
      <c r="K4" s="5"/>
    </row>
    <row r="5" customFormat="false" ht="15" hidden="false" customHeight="true" outlineLevel="0" collapsed="false">
      <c r="A5" s="4" t="s">
        <v>4</v>
      </c>
      <c r="B5" s="4"/>
      <c r="C5" s="6" t="s">
        <v>5</v>
      </c>
      <c r="D5" s="6"/>
      <c r="E5" s="6"/>
      <c r="F5" s="6"/>
      <c r="G5" s="6"/>
      <c r="H5" s="6"/>
      <c r="I5" s="6"/>
      <c r="J5" s="6"/>
      <c r="K5" s="6"/>
    </row>
    <row r="6" customFormat="false" ht="15" hidden="false" customHeight="true" outlineLevel="0" collapsed="false">
      <c r="A6" s="4" t="s">
        <v>6</v>
      </c>
      <c r="B6" s="4"/>
      <c r="C6" s="6" t="s">
        <v>7</v>
      </c>
      <c r="D6" s="6"/>
      <c r="E6" s="6"/>
      <c r="F6" s="6"/>
      <c r="G6" s="6"/>
      <c r="H6" s="6"/>
      <c r="I6" s="6"/>
      <c r="J6" s="6"/>
      <c r="K6" s="6"/>
    </row>
    <row r="8" customFormat="false" ht="15" hidden="false" customHeight="true" outlineLevel="0" collapsed="false">
      <c r="A8" s="7" t="s">
        <v>8</v>
      </c>
      <c r="B8" s="7"/>
      <c r="C8" s="7"/>
      <c r="D8" s="7"/>
      <c r="E8" s="7"/>
      <c r="F8" s="7"/>
      <c r="G8" s="7"/>
      <c r="H8" s="7"/>
      <c r="I8" s="7"/>
      <c r="J8" s="7"/>
      <c r="K8" s="7"/>
    </row>
    <row r="9" customFormat="false" ht="18" hidden="false" customHeight="true" outlineLevel="0" collapsed="false">
      <c r="A9" s="8" t="s">
        <v>9</v>
      </c>
      <c r="B9" s="8"/>
      <c r="C9" s="8"/>
      <c r="D9" s="8"/>
      <c r="E9" s="8"/>
      <c r="F9" s="8"/>
      <c r="G9" s="8"/>
      <c r="H9" s="8"/>
      <c r="I9" s="8"/>
      <c r="J9" s="8"/>
      <c r="K9" s="8"/>
    </row>
    <row r="10" customFormat="false" ht="18" hidden="false" customHeight="true" outlineLevel="0" collapsed="false">
      <c r="A10" s="9" t="s">
        <v>10</v>
      </c>
      <c r="B10" s="9"/>
      <c r="C10" s="9"/>
      <c r="D10" s="9"/>
      <c r="E10" s="9"/>
      <c r="F10" s="9"/>
      <c r="G10" s="9"/>
      <c r="H10" s="9"/>
      <c r="I10" s="9"/>
      <c r="J10" s="9"/>
      <c r="K10" s="9"/>
    </row>
    <row r="11" customFormat="false" ht="18" hidden="false" customHeight="true" outlineLevel="0" collapsed="false">
      <c r="A11" s="9" t="s">
        <v>11</v>
      </c>
      <c r="B11" s="9"/>
      <c r="C11" s="9"/>
      <c r="D11" s="9"/>
      <c r="E11" s="9"/>
      <c r="F11" s="9"/>
      <c r="G11" s="9"/>
      <c r="H11" s="9"/>
      <c r="I11" s="9"/>
      <c r="J11" s="9"/>
      <c r="K11" s="9"/>
    </row>
    <row r="12" customFormat="false" ht="18" hidden="false" customHeight="true" outlineLevel="0" collapsed="false">
      <c r="A12" s="10" t="s">
        <v>12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customFormat="false" ht="18" hidden="false" customHeight="true" outlineLevel="0" collapsed="false">
      <c r="A13" s="10" t="s">
        <v>13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customFormat="false" ht="18" hidden="false" customHeight="true" outlineLevel="0" collapsed="false">
      <c r="A14" s="8" t="s">
        <v>14</v>
      </c>
      <c r="B14" s="8"/>
      <c r="C14" s="8"/>
      <c r="D14" s="8"/>
      <c r="E14" s="8"/>
      <c r="F14" s="8"/>
      <c r="G14" s="8"/>
      <c r="H14" s="8"/>
      <c r="I14" s="8"/>
      <c r="J14" s="8"/>
      <c r="K14" s="8"/>
    </row>
    <row r="16" customFormat="false" ht="15" hidden="false" customHeight="true" outlineLevel="0" collapsed="false">
      <c r="A16" s="11" t="s">
        <v>15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</row>
    <row r="17" customFormat="false" ht="21.75" hidden="false" customHeight="true" outlineLevel="0" collapsed="false">
      <c r="A17" s="12" t="s">
        <v>16</v>
      </c>
      <c r="B17" s="12"/>
      <c r="C17" s="13" t="s">
        <v>17</v>
      </c>
      <c r="D17" s="13"/>
      <c r="E17" s="12" t="s">
        <v>18</v>
      </c>
      <c r="F17" s="12"/>
      <c r="G17" s="12"/>
      <c r="H17" s="12"/>
      <c r="I17" s="12" t="s">
        <v>19</v>
      </c>
      <c r="J17" s="12"/>
      <c r="K17" s="12"/>
    </row>
    <row r="18" customFormat="false" ht="31.5" hidden="false" customHeight="true" outlineLevel="0" collapsed="false">
      <c r="A18" s="14" t="s">
        <v>20</v>
      </c>
      <c r="B18" s="14"/>
      <c r="C18" s="15" t="s">
        <v>21</v>
      </c>
      <c r="D18" s="15"/>
      <c r="E18" s="16" t="s">
        <v>22</v>
      </c>
      <c r="F18" s="16"/>
      <c r="G18" s="16"/>
      <c r="H18" s="16"/>
      <c r="I18" s="5" t="s">
        <v>23</v>
      </c>
      <c r="J18" s="5"/>
      <c r="K18" s="5"/>
    </row>
    <row r="19" customFormat="false" ht="31.5" hidden="false" customHeight="true" outlineLevel="0" collapsed="false">
      <c r="A19" s="17" t="s">
        <v>24</v>
      </c>
      <c r="B19" s="17"/>
      <c r="C19" s="18" t="s">
        <v>25</v>
      </c>
      <c r="D19" s="18"/>
      <c r="E19" s="19" t="s">
        <v>26</v>
      </c>
      <c r="F19" s="19"/>
      <c r="G19" s="19"/>
      <c r="H19" s="19"/>
      <c r="I19" s="20" t="s">
        <v>27</v>
      </c>
      <c r="J19" s="20"/>
      <c r="K19" s="20"/>
    </row>
    <row r="20" customFormat="false" ht="31.5" hidden="false" customHeight="true" outlineLevel="0" collapsed="false">
      <c r="A20" s="14" t="s">
        <v>28</v>
      </c>
      <c r="B20" s="14"/>
      <c r="C20" s="15" t="s">
        <v>29</v>
      </c>
      <c r="D20" s="15"/>
      <c r="E20" s="16" t="s">
        <v>30</v>
      </c>
      <c r="F20" s="16"/>
      <c r="G20" s="16"/>
      <c r="H20" s="16"/>
      <c r="I20" s="5" t="s">
        <v>31</v>
      </c>
      <c r="J20" s="5"/>
      <c r="K20" s="5"/>
    </row>
    <row r="21" customFormat="false" ht="31.5" hidden="false" customHeight="true" outlineLevel="0" collapsed="false">
      <c r="A21" s="17" t="s">
        <v>32</v>
      </c>
      <c r="B21" s="17"/>
      <c r="C21" s="21" t="s">
        <v>33</v>
      </c>
      <c r="D21" s="21"/>
      <c r="E21" s="19" t="s">
        <v>34</v>
      </c>
      <c r="F21" s="19"/>
      <c r="G21" s="19"/>
      <c r="H21" s="19"/>
      <c r="I21" s="22" t="s">
        <v>35</v>
      </c>
      <c r="J21" s="22"/>
      <c r="K21" s="22"/>
    </row>
    <row r="23" customFormat="false" ht="15" hidden="false" customHeight="true" outlineLevel="0" collapsed="false">
      <c r="A23" s="11" t="s">
        <v>36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 customFormat="false" ht="30" hidden="false" customHeight="true" outlineLevel="0" collapsed="false">
      <c r="A24" s="12" t="s">
        <v>37</v>
      </c>
      <c r="B24" s="12" t="s">
        <v>38</v>
      </c>
      <c r="C24" s="12" t="s">
        <v>39</v>
      </c>
      <c r="D24" s="12" t="s">
        <v>40</v>
      </c>
      <c r="E24" s="12" t="s">
        <v>41</v>
      </c>
      <c r="F24" s="12" t="s">
        <v>42</v>
      </c>
      <c r="G24" s="12" t="s">
        <v>43</v>
      </c>
      <c r="H24" s="12" t="s">
        <v>44</v>
      </c>
      <c r="I24" s="12" t="s">
        <v>45</v>
      </c>
      <c r="J24" s="12" t="s">
        <v>46</v>
      </c>
      <c r="K24" s="12" t="s">
        <v>47</v>
      </c>
    </row>
    <row r="25" customFormat="false" ht="18.75" hidden="false" customHeight="true" outlineLevel="0" collapsed="false">
      <c r="A25" s="23" t="s">
        <v>48</v>
      </c>
      <c r="B25" s="24" t="s">
        <v>49</v>
      </c>
      <c r="C25" s="16" t="s">
        <v>50</v>
      </c>
      <c r="D25" s="25" t="s">
        <v>51</v>
      </c>
      <c r="E25" s="26" t="n">
        <v>1</v>
      </c>
      <c r="F25" s="27" t="n">
        <v>873000</v>
      </c>
      <c r="G25" s="28" t="n">
        <v>0.4</v>
      </c>
      <c r="H25" s="29" t="n">
        <f aca="false">ROUND(F25*G25,0)</f>
        <v>349200</v>
      </c>
      <c r="I25" s="29" t="n">
        <f aca="false">E25*H25</f>
        <v>349200</v>
      </c>
      <c r="J25" s="30"/>
      <c r="K25" s="31"/>
    </row>
    <row r="26" customFormat="false" ht="19.5" hidden="false" customHeight="true" outlineLevel="0" collapsed="false">
      <c r="A26" s="32" t="s">
        <v>52</v>
      </c>
      <c r="B26" s="32"/>
      <c r="C26" s="32"/>
      <c r="D26" s="32"/>
      <c r="E26" s="32"/>
      <c r="F26" s="32"/>
      <c r="G26" s="32"/>
      <c r="H26" s="32"/>
      <c r="I26" s="33" t="n">
        <f aca="false">SUM(I25:I25)</f>
        <v>349200</v>
      </c>
      <c r="J26" s="34"/>
      <c r="K26" s="34"/>
    </row>
    <row r="28" customFormat="false" ht="18.75" hidden="false" customHeight="true" outlineLevel="0" collapsed="false">
      <c r="A28" s="23" t="s">
        <v>48</v>
      </c>
      <c r="B28" s="24" t="s">
        <v>53</v>
      </c>
      <c r="C28" s="16" t="s">
        <v>54</v>
      </c>
      <c r="D28" s="25" t="s">
        <v>55</v>
      </c>
      <c r="E28" s="26" t="n">
        <v>1</v>
      </c>
      <c r="F28" s="27" t="n">
        <v>855000</v>
      </c>
      <c r="G28" s="28" t="n">
        <v>0.4</v>
      </c>
      <c r="H28" s="29" t="n">
        <f aca="false">ROUND(F28*G28,0)</f>
        <v>342000</v>
      </c>
      <c r="I28" s="29" t="n">
        <f aca="false">E28*H28</f>
        <v>342000</v>
      </c>
      <c r="J28" s="30"/>
      <c r="K28" s="31"/>
    </row>
    <row r="29" customFormat="false" ht="19.5" hidden="false" customHeight="true" outlineLevel="0" collapsed="false">
      <c r="A29" s="32" t="s">
        <v>56</v>
      </c>
      <c r="B29" s="32"/>
      <c r="C29" s="32"/>
      <c r="D29" s="32"/>
      <c r="E29" s="32"/>
      <c r="F29" s="32"/>
      <c r="G29" s="32"/>
      <c r="H29" s="32"/>
      <c r="I29" s="33" t="n">
        <f aca="false">SUM(I28:I28)</f>
        <v>342000</v>
      </c>
      <c r="J29" s="34"/>
      <c r="K29" s="34"/>
    </row>
    <row r="31" customFormat="false" ht="18.75" hidden="false" customHeight="true" outlineLevel="0" collapsed="false">
      <c r="A31" s="23" t="s">
        <v>57</v>
      </c>
      <c r="B31" s="24" t="s">
        <v>49</v>
      </c>
      <c r="C31" s="16" t="s">
        <v>58</v>
      </c>
      <c r="D31" s="25" t="s">
        <v>59</v>
      </c>
      <c r="E31" s="26" t="n">
        <v>1</v>
      </c>
      <c r="F31" s="27" t="n">
        <v>928000</v>
      </c>
      <c r="G31" s="28" t="n">
        <v>0.4</v>
      </c>
      <c r="H31" s="29" t="n">
        <f aca="false">ROUND(F31*G31,0)</f>
        <v>371200</v>
      </c>
      <c r="I31" s="29" t="n">
        <f aca="false">E31*H31</f>
        <v>371200</v>
      </c>
      <c r="J31" s="30"/>
      <c r="K31" s="31"/>
    </row>
    <row r="32" customFormat="false" ht="19.5" hidden="false" customHeight="true" outlineLevel="0" collapsed="false">
      <c r="A32" s="32" t="s">
        <v>60</v>
      </c>
      <c r="B32" s="32"/>
      <c r="C32" s="32"/>
      <c r="D32" s="32"/>
      <c r="E32" s="32"/>
      <c r="F32" s="32"/>
      <c r="G32" s="32"/>
      <c r="H32" s="32"/>
      <c r="I32" s="33" t="n">
        <f aca="false">SUM(I31:I31)</f>
        <v>371200</v>
      </c>
      <c r="J32" s="34"/>
      <c r="K32" s="34"/>
    </row>
    <row r="34" customFormat="false" ht="18.75" hidden="false" customHeight="true" outlineLevel="0" collapsed="false">
      <c r="A34" s="23" t="s">
        <v>57</v>
      </c>
      <c r="B34" s="24" t="s">
        <v>53</v>
      </c>
      <c r="C34" s="16" t="s">
        <v>61</v>
      </c>
      <c r="D34" s="25" t="s">
        <v>62</v>
      </c>
      <c r="E34" s="26" t="n">
        <v>1</v>
      </c>
      <c r="F34" s="27" t="n">
        <v>903000</v>
      </c>
      <c r="G34" s="28" t="n">
        <v>0.4</v>
      </c>
      <c r="H34" s="29" t="n">
        <f aca="false">ROUND(F34*G34,0)</f>
        <v>361200</v>
      </c>
      <c r="I34" s="29" t="n">
        <f aca="false">E34*H34</f>
        <v>361200</v>
      </c>
      <c r="J34" s="30"/>
      <c r="K34" s="31"/>
    </row>
    <row r="35" customFormat="false" ht="19.5" hidden="false" customHeight="true" outlineLevel="0" collapsed="false">
      <c r="A35" s="32" t="s">
        <v>63</v>
      </c>
      <c r="B35" s="32"/>
      <c r="C35" s="32"/>
      <c r="D35" s="32"/>
      <c r="E35" s="32"/>
      <c r="F35" s="32"/>
      <c r="G35" s="32"/>
      <c r="H35" s="32"/>
      <c r="I35" s="33" t="n">
        <f aca="false">SUM(I34:I34)</f>
        <v>361200</v>
      </c>
      <c r="J35" s="34"/>
      <c r="K35" s="34"/>
    </row>
    <row r="37" customFormat="false" ht="18.75" hidden="false" customHeight="true" outlineLevel="0" collapsed="false">
      <c r="A37" s="23" t="s">
        <v>64</v>
      </c>
      <c r="B37" s="24" t="s">
        <v>49</v>
      </c>
      <c r="C37" s="16" t="s">
        <v>50</v>
      </c>
      <c r="D37" s="25" t="s">
        <v>51</v>
      </c>
      <c r="E37" s="26" t="n">
        <v>1</v>
      </c>
      <c r="F37" s="27" t="n">
        <v>873000</v>
      </c>
      <c r="G37" s="28" t="n">
        <v>0.4</v>
      </c>
      <c r="H37" s="29" t="n">
        <f aca="false">ROUND(F37*G37,0)</f>
        <v>349200</v>
      </c>
      <c r="I37" s="29" t="n">
        <f aca="false">E37*H37</f>
        <v>349200</v>
      </c>
      <c r="J37" s="30"/>
      <c r="K37" s="31"/>
    </row>
    <row r="38" customFormat="false" ht="18.75" hidden="false" customHeight="true" outlineLevel="0" collapsed="false">
      <c r="A38" s="23" t="s">
        <v>64</v>
      </c>
      <c r="B38" s="24" t="s">
        <v>49</v>
      </c>
      <c r="C38" s="16" t="s">
        <v>65</v>
      </c>
      <c r="D38" s="35" t="s">
        <v>66</v>
      </c>
      <c r="E38" s="26" t="n">
        <v>1</v>
      </c>
      <c r="F38" s="27" t="n">
        <v>346000</v>
      </c>
      <c r="G38" s="28" t="n">
        <v>0.35</v>
      </c>
      <c r="H38" s="29" t="n">
        <f aca="false">ROUND(F38*G38,0)</f>
        <v>121100</v>
      </c>
      <c r="I38" s="29" t="n">
        <f aca="false">E38*H38</f>
        <v>121100</v>
      </c>
      <c r="J38" s="30"/>
      <c r="K38" s="31"/>
    </row>
    <row r="39" customFormat="false" ht="19.5" hidden="false" customHeight="true" outlineLevel="0" collapsed="false">
      <c r="A39" s="32" t="s">
        <v>67</v>
      </c>
      <c r="B39" s="32"/>
      <c r="C39" s="32"/>
      <c r="D39" s="32"/>
      <c r="E39" s="32"/>
      <c r="F39" s="32"/>
      <c r="G39" s="32"/>
      <c r="H39" s="32"/>
      <c r="I39" s="33" t="n">
        <f aca="false">SUM(I37:I38)</f>
        <v>470300</v>
      </c>
      <c r="J39" s="34"/>
      <c r="K39" s="34"/>
    </row>
    <row r="41" customFormat="false" ht="18.75" hidden="false" customHeight="true" outlineLevel="0" collapsed="false">
      <c r="A41" s="23" t="s">
        <v>64</v>
      </c>
      <c r="B41" s="24" t="s">
        <v>53</v>
      </c>
      <c r="C41" s="16" t="s">
        <v>54</v>
      </c>
      <c r="D41" s="25" t="s">
        <v>55</v>
      </c>
      <c r="E41" s="26" t="n">
        <v>1</v>
      </c>
      <c r="F41" s="27" t="n">
        <v>855000</v>
      </c>
      <c r="G41" s="28" t="n">
        <v>0.4</v>
      </c>
      <c r="H41" s="29" t="n">
        <f aca="false">ROUND(F41*G41,0)</f>
        <v>342000</v>
      </c>
      <c r="I41" s="29" t="n">
        <f aca="false">E41*H41</f>
        <v>342000</v>
      </c>
      <c r="J41" s="30"/>
      <c r="K41" s="31"/>
    </row>
    <row r="42" customFormat="false" ht="18.75" hidden="false" customHeight="true" outlineLevel="0" collapsed="false">
      <c r="A42" s="23" t="s">
        <v>64</v>
      </c>
      <c r="B42" s="24" t="s">
        <v>53</v>
      </c>
      <c r="C42" s="16" t="s">
        <v>65</v>
      </c>
      <c r="D42" s="35" t="s">
        <v>66</v>
      </c>
      <c r="E42" s="26" t="n">
        <v>1</v>
      </c>
      <c r="F42" s="27" t="n">
        <v>346000</v>
      </c>
      <c r="G42" s="28" t="n">
        <v>0.35</v>
      </c>
      <c r="H42" s="29" t="n">
        <f aca="false">ROUND(F42*G42,0)</f>
        <v>121100</v>
      </c>
      <c r="I42" s="29" t="n">
        <f aca="false">E42*H42</f>
        <v>121100</v>
      </c>
      <c r="J42" s="30"/>
      <c r="K42" s="31"/>
    </row>
    <row r="43" customFormat="false" ht="19.5" hidden="false" customHeight="true" outlineLevel="0" collapsed="false">
      <c r="A43" s="32" t="s">
        <v>68</v>
      </c>
      <c r="B43" s="32"/>
      <c r="C43" s="32"/>
      <c r="D43" s="32"/>
      <c r="E43" s="32"/>
      <c r="F43" s="32"/>
      <c r="G43" s="32"/>
      <c r="H43" s="32"/>
      <c r="I43" s="33" t="n">
        <f aca="false">SUM(I41:I42)</f>
        <v>463100</v>
      </c>
      <c r="J43" s="34"/>
      <c r="K43" s="34"/>
    </row>
    <row r="45" customFormat="false" ht="18.75" hidden="false" customHeight="true" outlineLevel="0" collapsed="false">
      <c r="A45" s="23" t="s">
        <v>69</v>
      </c>
      <c r="B45" s="24" t="s">
        <v>49</v>
      </c>
      <c r="C45" s="16" t="s">
        <v>70</v>
      </c>
      <c r="D45" s="25" t="s">
        <v>71</v>
      </c>
      <c r="E45" s="26" t="n">
        <v>1</v>
      </c>
      <c r="F45" s="27" t="n">
        <v>920000</v>
      </c>
      <c r="G45" s="28" t="n">
        <v>0.4</v>
      </c>
      <c r="H45" s="29" t="n">
        <f aca="false">ROUND(F45*G45,0)</f>
        <v>368000</v>
      </c>
      <c r="I45" s="29" t="n">
        <f aca="false">E45*H45</f>
        <v>368000</v>
      </c>
      <c r="J45" s="30"/>
      <c r="K45" s="31"/>
    </row>
    <row r="46" customFormat="false" ht="18.75" hidden="false" customHeight="true" outlineLevel="0" collapsed="false">
      <c r="A46" s="23" t="s">
        <v>69</v>
      </c>
      <c r="B46" s="24" t="s">
        <v>49</v>
      </c>
      <c r="C46" s="16" t="s">
        <v>72</v>
      </c>
      <c r="D46" s="35" t="s">
        <v>73</v>
      </c>
      <c r="E46" s="26" t="n">
        <v>5</v>
      </c>
      <c r="F46" s="27" t="n">
        <v>228000</v>
      </c>
      <c r="G46" s="28" t="n">
        <v>0.35</v>
      </c>
      <c r="H46" s="29" t="n">
        <f aca="false">ROUND(F46*G46,0)</f>
        <v>79800</v>
      </c>
      <c r="I46" s="29" t="n">
        <f aca="false">E46*H46</f>
        <v>399000</v>
      </c>
      <c r="J46" s="30"/>
      <c r="K46" s="31"/>
    </row>
    <row r="47" customFormat="false" ht="18.75" hidden="false" customHeight="true" outlineLevel="0" collapsed="false">
      <c r="A47" s="36" t="s">
        <v>69</v>
      </c>
      <c r="B47" s="37" t="s">
        <v>49</v>
      </c>
      <c r="C47" s="19" t="s">
        <v>74</v>
      </c>
      <c r="D47" s="38" t="s">
        <v>75</v>
      </c>
      <c r="E47" s="39" t="n">
        <v>2</v>
      </c>
      <c r="F47" s="40" t="n">
        <v>227000</v>
      </c>
      <c r="G47" s="41" t="n">
        <v>0.35</v>
      </c>
      <c r="H47" s="42" t="n">
        <f aca="false">ROUND(F47*G47,0)</f>
        <v>79450</v>
      </c>
      <c r="I47" s="42" t="n">
        <f aca="false">E47*H47</f>
        <v>158900</v>
      </c>
      <c r="J47" s="30"/>
      <c r="K47" s="31"/>
    </row>
    <row r="48" customFormat="false" ht="18.75" hidden="false" customHeight="true" outlineLevel="0" collapsed="false">
      <c r="A48" s="36" t="s">
        <v>69</v>
      </c>
      <c r="B48" s="37" t="s">
        <v>49</v>
      </c>
      <c r="C48" s="19" t="s">
        <v>76</v>
      </c>
      <c r="D48" s="38" t="s">
        <v>77</v>
      </c>
      <c r="E48" s="39" t="n">
        <v>1</v>
      </c>
      <c r="F48" s="40" t="n">
        <v>168000</v>
      </c>
      <c r="G48" s="41" t="n">
        <v>0.35</v>
      </c>
      <c r="H48" s="42" t="n">
        <f aca="false">ROUND(F48*G48,0)</f>
        <v>58800</v>
      </c>
      <c r="I48" s="42" t="n">
        <f aca="false">E48*H48</f>
        <v>58800</v>
      </c>
      <c r="J48" s="30"/>
      <c r="K48" s="31"/>
    </row>
    <row r="49" customFormat="false" ht="18.75" hidden="false" customHeight="true" outlineLevel="0" collapsed="false">
      <c r="A49" s="23" t="s">
        <v>69</v>
      </c>
      <c r="B49" s="24" t="s">
        <v>49</v>
      </c>
      <c r="C49" s="16" t="s">
        <v>78</v>
      </c>
      <c r="D49" s="35" t="s">
        <v>79</v>
      </c>
      <c r="E49" s="26" t="n">
        <v>1</v>
      </c>
      <c r="F49" s="27" t="n">
        <v>351000</v>
      </c>
      <c r="G49" s="28" t="n">
        <v>0.35</v>
      </c>
      <c r="H49" s="29" t="n">
        <f aca="false">ROUND(F49*G49,0)</f>
        <v>122850</v>
      </c>
      <c r="I49" s="29" t="n">
        <f aca="false">E49*H49</f>
        <v>122850</v>
      </c>
      <c r="J49" s="30"/>
      <c r="K49" s="31"/>
    </row>
    <row r="50" customFormat="false" ht="18.75" hidden="false" customHeight="true" outlineLevel="0" collapsed="false">
      <c r="A50" s="36" t="s">
        <v>69</v>
      </c>
      <c r="B50" s="37" t="s">
        <v>49</v>
      </c>
      <c r="C50" s="19" t="s">
        <v>80</v>
      </c>
      <c r="D50" s="38" t="s">
        <v>81</v>
      </c>
      <c r="E50" s="39" t="n">
        <v>1</v>
      </c>
      <c r="F50" s="40" t="n">
        <v>156000</v>
      </c>
      <c r="G50" s="41" t="n">
        <v>0.35</v>
      </c>
      <c r="H50" s="42" t="n">
        <f aca="false">ROUND(F50*G50,0)</f>
        <v>54600</v>
      </c>
      <c r="I50" s="42" t="n">
        <f aca="false">E50*H50</f>
        <v>54600</v>
      </c>
      <c r="J50" s="30"/>
      <c r="K50" s="31"/>
    </row>
    <row r="51" customFormat="false" ht="18.75" hidden="false" customHeight="true" outlineLevel="0" collapsed="false">
      <c r="A51" s="36" t="s">
        <v>69</v>
      </c>
      <c r="B51" s="37" t="s">
        <v>49</v>
      </c>
      <c r="C51" s="19" t="s">
        <v>82</v>
      </c>
      <c r="D51" s="38" t="s">
        <v>83</v>
      </c>
      <c r="E51" s="39" t="n">
        <v>1</v>
      </c>
      <c r="F51" s="40" t="n">
        <v>185000</v>
      </c>
      <c r="G51" s="41" t="n">
        <v>0.35</v>
      </c>
      <c r="H51" s="42" t="n">
        <f aca="false">ROUND(F51*G51,0)</f>
        <v>64750</v>
      </c>
      <c r="I51" s="42" t="n">
        <f aca="false">E51*H51</f>
        <v>64750</v>
      </c>
      <c r="J51" s="30"/>
      <c r="K51" s="31"/>
    </row>
    <row r="52" customFormat="false" ht="19.5" hidden="false" customHeight="true" outlineLevel="0" collapsed="false">
      <c r="A52" s="32" t="s">
        <v>84</v>
      </c>
      <c r="B52" s="32"/>
      <c r="C52" s="32"/>
      <c r="D52" s="32"/>
      <c r="E52" s="32"/>
      <c r="F52" s="32"/>
      <c r="G52" s="32"/>
      <c r="H52" s="32"/>
      <c r="I52" s="33" t="n">
        <f aca="false">SUM(I45:I51)</f>
        <v>1226900</v>
      </c>
      <c r="J52" s="34"/>
      <c r="K52" s="34"/>
    </row>
    <row r="54" customFormat="false" ht="15" hidden="false" customHeight="true" outlineLevel="0" collapsed="false">
      <c r="A54" s="11" t="s">
        <v>85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 customFormat="false" ht="30" hidden="false" customHeight="true" outlineLevel="0" collapsed="false">
      <c r="A55" s="12" t="s">
        <v>37</v>
      </c>
      <c r="B55" s="12"/>
      <c r="C55" s="13" t="s">
        <v>86</v>
      </c>
      <c r="D55" s="13"/>
      <c r="E55" s="13" t="s">
        <v>87</v>
      </c>
      <c r="F55" s="13"/>
      <c r="G55" s="12" t="s">
        <v>88</v>
      </c>
      <c r="H55" s="12" t="s">
        <v>89</v>
      </c>
      <c r="I55" s="12"/>
      <c r="J55" s="12" t="s">
        <v>90</v>
      </c>
      <c r="K55" s="12"/>
    </row>
    <row r="56" customFormat="false" ht="18.75" hidden="false" customHeight="true" outlineLevel="0" collapsed="false">
      <c r="A56" s="23" t="s">
        <v>48</v>
      </c>
      <c r="B56" s="23"/>
      <c r="C56" s="29" t="n">
        <f aca="false">I26</f>
        <v>349200</v>
      </c>
      <c r="D56" s="29"/>
      <c r="E56" s="29" t="n">
        <f aca="false">I29</f>
        <v>342000</v>
      </c>
      <c r="F56" s="29"/>
      <c r="G56" s="43" t="n">
        <v>200</v>
      </c>
      <c r="H56" s="29" t="n">
        <f aca="false">C56*G56</f>
        <v>69840000</v>
      </c>
      <c r="I56" s="29"/>
      <c r="J56" s="29" t="n">
        <f aca="false">E56*G56</f>
        <v>68400000</v>
      </c>
      <c r="K56" s="29"/>
    </row>
    <row r="57" customFormat="false" ht="18.75" hidden="false" customHeight="true" outlineLevel="0" collapsed="false">
      <c r="A57" s="23" t="s">
        <v>57</v>
      </c>
      <c r="B57" s="23"/>
      <c r="C57" s="29" t="n">
        <f aca="false">I32</f>
        <v>371200</v>
      </c>
      <c r="D57" s="29"/>
      <c r="E57" s="29" t="n">
        <f aca="false">I35</f>
        <v>361200</v>
      </c>
      <c r="F57" s="29"/>
      <c r="G57" s="43" t="n">
        <v>300</v>
      </c>
      <c r="H57" s="29" t="n">
        <f aca="false">C57*G57</f>
        <v>111360000</v>
      </c>
      <c r="I57" s="29"/>
      <c r="J57" s="29" t="n">
        <f aca="false">E57*G57</f>
        <v>108360000</v>
      </c>
      <c r="K57" s="29"/>
    </row>
    <row r="58" customFormat="false" ht="18.75" hidden="false" customHeight="true" outlineLevel="0" collapsed="false">
      <c r="A58" s="23" t="s">
        <v>64</v>
      </c>
      <c r="B58" s="23"/>
      <c r="C58" s="29" t="n">
        <f aca="false">I39</f>
        <v>470300</v>
      </c>
      <c r="D58" s="29"/>
      <c r="E58" s="29" t="n">
        <f aca="false">I43</f>
        <v>463100</v>
      </c>
      <c r="F58" s="29"/>
      <c r="G58" s="43" t="n">
        <v>50</v>
      </c>
      <c r="H58" s="29" t="n">
        <f aca="false">C58*G58</f>
        <v>23515000</v>
      </c>
      <c r="I58" s="29"/>
      <c r="J58" s="29" t="n">
        <f aca="false">E58*G58</f>
        <v>23155000</v>
      </c>
      <c r="K58" s="29"/>
    </row>
    <row r="59" customFormat="false" ht="18.75" hidden="false" customHeight="true" outlineLevel="0" collapsed="false">
      <c r="A59" s="23" t="s">
        <v>69</v>
      </c>
      <c r="B59" s="23"/>
      <c r="C59" s="29" t="n">
        <f aca="false">I52</f>
        <v>1226900</v>
      </c>
      <c r="D59" s="29"/>
      <c r="E59" s="29" t="n">
        <f aca="false">I52</f>
        <v>1226900</v>
      </c>
      <c r="F59" s="29"/>
      <c r="G59" s="43" t="n">
        <v>100</v>
      </c>
      <c r="H59" s="29" t="n">
        <f aca="false">C59*G59</f>
        <v>122690000</v>
      </c>
      <c r="I59" s="29"/>
      <c r="J59" s="29" t="n">
        <f aca="false">E59*G59</f>
        <v>122690000</v>
      </c>
      <c r="K59" s="29"/>
    </row>
    <row r="60" customFormat="false" ht="15" hidden="false" customHeight="true" outlineLevel="0" collapsed="false">
      <c r="A60" s="44" t="s">
        <v>91</v>
      </c>
      <c r="B60" s="44"/>
      <c r="C60" s="44"/>
      <c r="D60" s="44"/>
      <c r="E60" s="44"/>
      <c r="F60" s="44"/>
      <c r="G60" s="45" t="n">
        <f aca="false">SUM(G56:G59)</f>
        <v>650</v>
      </c>
      <c r="H60" s="33" t="n">
        <f aca="false">SUM(H56:H59)</f>
        <v>327405000</v>
      </c>
      <c r="I60" s="33"/>
      <c r="J60" s="33" t="n">
        <f aca="false">SUM(J56:J59)</f>
        <v>322605000</v>
      </c>
      <c r="K60" s="33"/>
    </row>
    <row r="61" customFormat="false" ht="15" hidden="false" customHeight="true" outlineLevel="0" collapsed="false">
      <c r="A61" s="46" t="s">
        <v>92</v>
      </c>
      <c r="B61" s="46"/>
      <c r="C61" s="46"/>
      <c r="D61" s="46"/>
      <c r="E61" s="46"/>
      <c r="F61" s="46"/>
      <c r="G61" s="46"/>
      <c r="H61" s="46"/>
      <c r="I61" s="46"/>
      <c r="J61" s="46"/>
      <c r="K61" s="46"/>
    </row>
    <row r="63" customFormat="false" ht="15" hidden="false" customHeight="true" outlineLevel="0" collapsed="false">
      <c r="A63" s="11" t="s">
        <v>93</v>
      </c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 customFormat="false" ht="30" hidden="false" customHeight="true" outlineLevel="0" collapsed="false">
      <c r="A64" s="12" t="s">
        <v>16</v>
      </c>
      <c r="B64" s="12"/>
      <c r="C64" s="12" t="s">
        <v>39</v>
      </c>
      <c r="D64" s="12" t="s">
        <v>40</v>
      </c>
      <c r="E64" s="12" t="s">
        <v>41</v>
      </c>
      <c r="F64" s="12" t="s">
        <v>42</v>
      </c>
      <c r="G64" s="12" t="s">
        <v>43</v>
      </c>
      <c r="H64" s="12" t="s">
        <v>44</v>
      </c>
      <c r="I64" s="12" t="s">
        <v>45</v>
      </c>
      <c r="J64" s="12" t="s">
        <v>46</v>
      </c>
      <c r="K64" s="12" t="s">
        <v>47</v>
      </c>
    </row>
    <row r="65" customFormat="false" ht="18.75" hidden="false" customHeight="true" outlineLevel="0" collapsed="false">
      <c r="A65" s="14" t="s">
        <v>94</v>
      </c>
      <c r="B65" s="14"/>
      <c r="C65" s="16" t="s">
        <v>74</v>
      </c>
      <c r="D65" s="25" t="s">
        <v>75</v>
      </c>
      <c r="E65" s="26" t="n">
        <v>2</v>
      </c>
      <c r="F65" s="27" t="n">
        <v>227000</v>
      </c>
      <c r="G65" s="28" t="n">
        <v>0.35</v>
      </c>
      <c r="H65" s="29" t="n">
        <f aca="false">ROUND(F65*G65,0)</f>
        <v>79450</v>
      </c>
      <c r="I65" s="29" t="n">
        <f aca="false">E65*H65</f>
        <v>158900</v>
      </c>
      <c r="J65" s="47"/>
      <c r="K65" s="47"/>
    </row>
    <row r="66" customFormat="false" ht="18.75" hidden="false" customHeight="true" outlineLevel="0" collapsed="false">
      <c r="A66" s="14" t="s">
        <v>94</v>
      </c>
      <c r="B66" s="14"/>
      <c r="C66" s="16" t="s">
        <v>76</v>
      </c>
      <c r="D66" s="25" t="s">
        <v>77</v>
      </c>
      <c r="E66" s="26" t="n">
        <v>1</v>
      </c>
      <c r="F66" s="27" t="n">
        <v>168000</v>
      </c>
      <c r="G66" s="28" t="n">
        <v>0.35</v>
      </c>
      <c r="H66" s="29" t="n">
        <f aca="false">ROUND(F66*G66,0)</f>
        <v>58800</v>
      </c>
      <c r="I66" s="29" t="n">
        <f aca="false">E66*H66</f>
        <v>58800</v>
      </c>
      <c r="J66" s="47"/>
      <c r="K66" s="47"/>
    </row>
    <row r="67" customFormat="false" ht="18.75" hidden="false" customHeight="true" outlineLevel="0" collapsed="false">
      <c r="A67" s="14" t="s">
        <v>95</v>
      </c>
      <c r="B67" s="14"/>
      <c r="C67" s="16" t="s">
        <v>96</v>
      </c>
      <c r="D67" s="25" t="s">
        <v>97</v>
      </c>
      <c r="E67" s="26" t="n">
        <v>2</v>
      </c>
      <c r="F67" s="27" t="n">
        <v>227000</v>
      </c>
      <c r="G67" s="28" t="n">
        <v>0.35</v>
      </c>
      <c r="H67" s="29" t="n">
        <f aca="false">ROUND(F67*G67,0)</f>
        <v>79450</v>
      </c>
      <c r="I67" s="29" t="n">
        <f aca="false">E67*H67</f>
        <v>158900</v>
      </c>
      <c r="J67" s="30"/>
      <c r="K67" s="31"/>
    </row>
    <row r="68" customFormat="false" ht="18.75" hidden="false" customHeight="true" outlineLevel="0" collapsed="false">
      <c r="A68" s="14" t="s">
        <v>95</v>
      </c>
      <c r="B68" s="14"/>
      <c r="C68" s="16" t="s">
        <v>98</v>
      </c>
      <c r="D68" s="25" t="s">
        <v>99</v>
      </c>
      <c r="E68" s="26" t="n">
        <v>1</v>
      </c>
      <c r="F68" s="27" t="n">
        <v>161000</v>
      </c>
      <c r="G68" s="28" t="n">
        <v>0.35</v>
      </c>
      <c r="H68" s="29" t="n">
        <f aca="false">ROUND(F68*G68,0)</f>
        <v>56350</v>
      </c>
      <c r="I68" s="29" t="n">
        <f aca="false">E68*H68</f>
        <v>56350</v>
      </c>
      <c r="J68" s="30"/>
      <c r="K68" s="31"/>
    </row>
    <row r="69" customFormat="false" ht="15" hidden="false" customHeight="true" outlineLevel="0" collapsed="false">
      <c r="A69" s="32" t="s">
        <v>100</v>
      </c>
      <c r="B69" s="32"/>
      <c r="C69" s="32"/>
      <c r="D69" s="32"/>
      <c r="E69" s="32"/>
      <c r="F69" s="32"/>
      <c r="G69" s="32"/>
      <c r="H69" s="32"/>
      <c r="I69" s="33" t="n">
        <f aca="false">I52-I65-I66+I67+I68</f>
        <v>1224450</v>
      </c>
      <c r="J69" s="48" t="str">
        <f aca="false">"현재 대비 "&amp;TEXT(I69-I52,"+#,##0;-#,##0;0")&amp;"원"</f>
        <v>현재 대비 -2,450원</v>
      </c>
      <c r="K69" s="48"/>
    </row>
    <row r="71" customFormat="false" ht="15" hidden="false" customHeight="true" outlineLevel="0" collapsed="false">
      <c r="A71" s="46" t="s">
        <v>101</v>
      </c>
      <c r="B71" s="46"/>
      <c r="C71" s="46"/>
      <c r="D71" s="46"/>
      <c r="E71" s="46"/>
      <c r="F71" s="46"/>
      <c r="G71" s="46"/>
      <c r="H71" s="46"/>
      <c r="I71" s="46"/>
      <c r="J71" s="46"/>
      <c r="K71" s="46"/>
    </row>
  </sheetData>
  <mergeCells count="83">
    <mergeCell ref="A1:K1"/>
    <mergeCell ref="A2:K2"/>
    <mergeCell ref="A4:B4"/>
    <mergeCell ref="C4:K4"/>
    <mergeCell ref="A5:B5"/>
    <mergeCell ref="C5:K5"/>
    <mergeCell ref="A6:B6"/>
    <mergeCell ref="C6:K6"/>
    <mergeCell ref="A8:K8"/>
    <mergeCell ref="A9:K9"/>
    <mergeCell ref="A10:K10"/>
    <mergeCell ref="A11:K11"/>
    <mergeCell ref="A12:K12"/>
    <mergeCell ref="A13:K13"/>
    <mergeCell ref="A14:K14"/>
    <mergeCell ref="A16:K16"/>
    <mergeCell ref="A17:B17"/>
    <mergeCell ref="C17:D17"/>
    <mergeCell ref="E17:H17"/>
    <mergeCell ref="I17:K17"/>
    <mergeCell ref="A18:B18"/>
    <mergeCell ref="C18:D18"/>
    <mergeCell ref="E18:H18"/>
    <mergeCell ref="I18:K18"/>
    <mergeCell ref="A19:B19"/>
    <mergeCell ref="C19:D19"/>
    <mergeCell ref="E19:H19"/>
    <mergeCell ref="I19:K19"/>
    <mergeCell ref="A20:B20"/>
    <mergeCell ref="C20:D20"/>
    <mergeCell ref="E20:H20"/>
    <mergeCell ref="I20:K20"/>
    <mergeCell ref="A21:B21"/>
    <mergeCell ref="C21:D21"/>
    <mergeCell ref="E21:H21"/>
    <mergeCell ref="I21:K21"/>
    <mergeCell ref="A23:K23"/>
    <mergeCell ref="A26:H26"/>
    <mergeCell ref="A29:H29"/>
    <mergeCell ref="A32:H32"/>
    <mergeCell ref="A35:H35"/>
    <mergeCell ref="A39:H39"/>
    <mergeCell ref="A43:H43"/>
    <mergeCell ref="A52:H52"/>
    <mergeCell ref="A54:K54"/>
    <mergeCell ref="A55:B55"/>
    <mergeCell ref="C55:D55"/>
    <mergeCell ref="E55:F55"/>
    <mergeCell ref="H55:I55"/>
    <mergeCell ref="J55:K55"/>
    <mergeCell ref="A56:B56"/>
    <mergeCell ref="C56:D56"/>
    <mergeCell ref="E56:F56"/>
    <mergeCell ref="H56:I56"/>
    <mergeCell ref="J56:K56"/>
    <mergeCell ref="A57:B57"/>
    <mergeCell ref="C57:D57"/>
    <mergeCell ref="E57:F57"/>
    <mergeCell ref="H57:I57"/>
    <mergeCell ref="J57:K57"/>
    <mergeCell ref="A58:B58"/>
    <mergeCell ref="C58:D58"/>
    <mergeCell ref="E58:F58"/>
    <mergeCell ref="H58:I58"/>
    <mergeCell ref="J58:K58"/>
    <mergeCell ref="A59:B59"/>
    <mergeCell ref="C59:D59"/>
    <mergeCell ref="E59:F59"/>
    <mergeCell ref="H59:I59"/>
    <mergeCell ref="J59:K59"/>
    <mergeCell ref="A60:F60"/>
    <mergeCell ref="H60:I60"/>
    <mergeCell ref="J60:K60"/>
    <mergeCell ref="A61:K61"/>
    <mergeCell ref="A63:K63"/>
    <mergeCell ref="A64:B64"/>
    <mergeCell ref="A65:B65"/>
    <mergeCell ref="A66:B66"/>
    <mergeCell ref="A67:B67"/>
    <mergeCell ref="A68:B68"/>
    <mergeCell ref="A69:H69"/>
    <mergeCell ref="J69:K69"/>
    <mergeCell ref="A71:K71"/>
  </mergeCells>
  <dataValidations count="1">
    <dataValidation allowBlank="true" errorStyle="stop" operator="between" showDropDown="false" showErrorMessage="false" showInputMessage="false" sqref="J25 J28 J31 J34 J37:J38 J41:J42 J45:J51 J67:J68" type="list">
      <formula1>"O,X"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2026-10-06T04:58:46Z</dcterms:created>
  <dc:creator>openpyxl</dc:creator>
  <dc:description/>
  <dc:language>en-US</dc:language>
  <cp:lastModifiedBy/>
  <dcterms:modified xsi:type="dcterms:W3CDTF">2026-10-06T05:10:21Z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